
<file path=[Content_Types].xml><?xml version="1.0" encoding="utf-8"?>
<Types xmlns="http://schemas.openxmlformats.org/package/2006/content-type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3B49507E-6809-46EE-B351-387FB50E064F}" xr6:coauthVersionLast="47" xr6:coauthVersionMax="47" xr10:uidLastSave="{00000000-0000-0000-0000-000000000000}"/>
  <bookViews>
    <workbookView xWindow="-120" yWindow="-120" windowWidth="20730" windowHeight="11160" activeTab="1" xr2:uid="{2E791D3D-660F-4402-80EB-F886392ADE85}"/>
  </bookViews>
  <sheets>
    <sheet name="Pivot Report" sheetId="1" r:id="rId1"/>
    <sheet name="Dashboard" sheetId="2" r:id="rId2"/>
    <sheet name="Daily ER no. of Patients" sheetId="3" r:id="rId3"/>
    <sheet name="Average wait time daily trend" sheetId="4" r:id="rId4"/>
    <sheet name="Satisfaction score daily trends" sheetId="5" r:id="rId5"/>
  </sheets>
  <definedNames>
    <definedName name="Slicer_Date__Month">#N/A</definedName>
    <definedName name="Slicer_Date__Year">#N/A</definedName>
  </definedNames>
  <calcPr calcId="191029"/>
  <pivotCaches>
    <pivotCache cacheId="2071" r:id="rId6"/>
    <pivotCache cacheId="2074" r:id="rId7"/>
    <pivotCache cacheId="2077" r:id="rId8"/>
    <pivotCache cacheId="2080" r:id="rId9"/>
    <pivotCache cacheId="2083" r:id="rId10"/>
    <pivotCache cacheId="2086" r:id="rId11"/>
    <pivotCache cacheId="2089" r:id="rId12"/>
    <pivotCache cacheId="2092" r:id="rId13"/>
    <pivotCache cacheId="2095" r:id="rId14"/>
    <pivotCache cacheId="2098" r:id="rId15"/>
    <pivotCache cacheId="2101" r:id="rId16"/>
    <pivotCache cacheId="2104" r:id="rId17"/>
  </pivotCaches>
  <extLst>
    <ext xmlns:x14="http://schemas.microsoft.com/office/spreadsheetml/2009/9/main" uri="{876F7934-8845-4945-9796-88D515C7AA90}">
      <x14:pivotCaches>
        <pivotCache cacheId="181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0a1244b-90f9-4091-9e41-351aece3635d" name="Hospital Emergency Room Data" connection="Query - Hospital Emergency Room Data"/>
          <x15:modelTable id="calender_table_7ae79be2-46be-4883-aaba-218fbf45eb48"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6" i="1" l="1"/>
  <c r="A55" i="1"/>
  <c r="B55" i="1"/>
  <c r="C55" i="1"/>
  <c r="B56" i="1"/>
  <c r="C5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2CC098-9232-4E11-AA3D-15261C013CC6}" name="Query - calender_table" description="Connection to the 'calender_table' query in the workbook." type="100" refreshedVersion="8" minRefreshableVersion="5">
    <extLst>
      <ext xmlns:x15="http://schemas.microsoft.com/office/spreadsheetml/2010/11/main" uri="{DE250136-89BD-433C-8126-D09CA5730AF9}">
        <x15:connection id="b9cb2c79-05f6-4ed7-89fb-746ea2ab1347"/>
      </ext>
    </extLst>
  </connection>
  <connection id="2" xr16:uid="{7D2E6F85-8EEC-47E3-B94E-DBB8492D6C1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c2d6d4a-1d67-4153-967f-a7c790e51b71"/>
      </ext>
    </extLst>
  </connection>
  <connection id="3" xr16:uid="{E621E65B-909B-486B-9CB0-422FAA1E02A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<sst xmlns="http://schemas.openxmlformats.org/spreadsheetml/2006/main" count="157" uniqueCount="75">
  <si>
    <t>Distinct Count of Patient Id</t>
  </si>
  <si>
    <t>No. of Patient</t>
  </si>
  <si>
    <t>Average of Patient Waittime</t>
  </si>
  <si>
    <t>Average of Patient Satisfaction Score</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</si>
  <si>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</si>
  <si>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</si>
  <si>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</si>
  <si>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</si>
  <si>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</si>
  <si>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</si>
  <si>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</si>
  <si>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</si>
  <si>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</si>
  <si>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</si>
  <si>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</si>
  <si>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</si>
  <si>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</si>
  <si>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</si>
  <si>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</si>
  <si>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</si>
  <si>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</si>
  <si>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</si>
  <si>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</si>
  <si>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</si>
  <si>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</si>
  <si>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</si>
  <si>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</si>
  <si>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</si>
  <si>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</si>
  <si>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</si>
  <si>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</si>
  <si>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</si>
  <si>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</si>
  <si>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</si>
  <si>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</si>
  <si>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</si>
  <si>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</si>
  <si>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</si>
  <si>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patients</t>
  </si>
  <si>
    <t xml:space="preserve">average wait time </t>
  </si>
  <si>
    <t>Satisfaction score daily trend</t>
  </si>
  <si>
    <t>Male</t>
  </si>
  <si>
    <t>None</t>
  </si>
  <si>
    <t>Admitted</t>
  </si>
  <si>
    <t>50-59</t>
  </si>
  <si>
    <t>Delay</t>
  </si>
  <si>
    <t>0-9</t>
  </si>
  <si>
    <t>Female</t>
  </si>
  <si>
    <t>20-29</t>
  </si>
  <si>
    <t>General Practice</t>
  </si>
  <si>
    <t>40-49</t>
  </si>
  <si>
    <t>Not Admitted</t>
  </si>
  <si>
    <t>Ontime</t>
  </si>
  <si>
    <t>Orthopedics</t>
  </si>
  <si>
    <t>10-19</t>
  </si>
  <si>
    <t>30-39</t>
  </si>
  <si>
    <t>Count of Patient Attend Status</t>
  </si>
  <si>
    <t>Count of Patient Admission Flag</t>
  </si>
  <si>
    <t>Count of Patient Admission Flag2</t>
  </si>
  <si>
    <t>Admission Status</t>
  </si>
  <si>
    <t>%Status</t>
  </si>
  <si>
    <t>Chart</t>
  </si>
  <si>
    <t>60-69</t>
  </si>
  <si>
    <t>70-79</t>
  </si>
  <si>
    <t>Count of Age Group</t>
  </si>
  <si>
    <t>Age Group wise Analysis</t>
  </si>
  <si>
    <t>attended status</t>
  </si>
  <si>
    <t>Count of Patient Gender</t>
  </si>
  <si>
    <t>Gender wise analysis</t>
  </si>
  <si>
    <t>Cardiology</t>
  </si>
  <si>
    <t>Gastroenterology</t>
  </si>
  <si>
    <t>Neurology</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</si>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</sst>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color theme="0"/>
      <name val="Calibri"/>
      <family val="2"/>
      <scheme val="minor"/>
    </font>
    <font>
      <sz val="11"/>
      <color theme="9" tint="0.3999755851924192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1" tint="0.14999847407452621"/>
        <bgColor indexed="64"/>
      </patternFill>
    </fill>
    <fill>
      <patternFill patternType="solid">
        <fgColor theme="1" tint="0.249977111117893"/>
        <bgColor indexed="64"/>
      </patternFill>
    </fill>
    <fill>
      <patternFill patternType="solid">
        <fgColor rgb="FFF8F8F8"/>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3" fillId="2" borderId="0" xfId="0" applyFont="1" applyFill="1"/>
    <xf numFmtId="0" fontId="0" fillId="0" borderId="0" xfId="0" applyAlignment="1">
      <alignment horizontal="left"/>
    </xf>
    <xf numFmtId="0" fontId="0" fillId="3" borderId="0" xfId="0" applyFill="1"/>
    <xf numFmtId="0" fontId="0" fillId="4" borderId="0" xfId="0" applyFill="1"/>
    <xf numFmtId="10" fontId="0" fillId="0" borderId="0" xfId="0" applyNumberFormat="1"/>
    <xf numFmtId="9" fontId="0" fillId="0" borderId="0" xfId="1" applyFont="1"/>
    <xf numFmtId="0" fontId="0" fillId="5" borderId="0" xfId="0" applyFill="1" applyBorder="1"/>
    <xf numFmtId="9" fontId="0" fillId="5" borderId="0" xfId="1" applyFont="1" applyFill="1" applyBorder="1"/>
    <xf numFmtId="0" fontId="2" fillId="4" borderId="0" xfId="0" applyFont="1" applyFill="1"/>
    <xf numFmtId="1" fontId="0" fillId="0" borderId="0" xfId="0" applyNumberFormat="1"/>
  </cellXfs>
  <cellStyles count="2">
    <cellStyle name="Normal" xfId="0" builtinId="0"/>
    <cellStyle name="Percent" xfId="1" builtinId="5"/>
  </cellStyles>
  <dxfs count="328">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font>
        <b/>
        <color theme="1"/>
      </font>
      <border>
        <bottom style="thin">
          <color theme="5"/>
        </bottom>
        <vertical/>
        <horizontal/>
      </border>
    </dxf>
    <dxf>
      <font>
        <sz val="16"/>
        <color theme="1"/>
      </font>
      <fill>
        <patternFill>
          <bgColor theme="5" tint="0.39994506668294322"/>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5DFDC7BE-BAA3-4663-ADA1-E1B53C5CBB35}">
      <tableStyleElement type="wholeTable" dxfId="325"/>
      <tableStyleElement type="headerRow" dxfId="324"/>
    </tableStyle>
  </tableStyles>
  <colors>
    <mruColors>
      <color rgb="FFEEA28A"/>
      <color rgb="FFEB9175"/>
      <color rgb="FFF8F8F8"/>
      <color rgb="FFF3CAB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3"/>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50202733625412488"/>
              <c:y val="2.0816681711721685E-17"/>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2663688092324056"/>
                  <c:h val="0.45688027347128723"/>
                </c:manualLayout>
              </c15:layout>
            </c:ext>
          </c:extLst>
        </c:dLbl>
      </c:pivotFmt>
      <c:pivotFmt>
        <c:idx val="5"/>
        <c:spPr>
          <a:solidFill>
            <a:schemeClr val="accent2"/>
          </a:solidFill>
          <a:ln>
            <a:noFill/>
          </a:ln>
          <a:effectLst/>
        </c:spPr>
        <c:dLbl>
          <c:idx val="0"/>
          <c:layout>
            <c:manualLayout>
              <c:x val="0.57782428681923659"/>
              <c:y val="-3.0943383354409017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9378346635036829E-3"/>
          <c:y val="6.8757659705623642E-2"/>
          <c:w val="0.82550455916476417"/>
          <c:h val="0.90846554335622798"/>
        </c:manualLayout>
      </c:layout>
      <c:barChart>
        <c:barDir val="bar"/>
        <c:grouping val="clustered"/>
        <c:varyColors val="0"/>
        <c:ser>
          <c:idx val="0"/>
          <c:order val="0"/>
          <c:tx>
            <c:strRef>
              <c:f>'Pivot Report'!$C$45:$C$46</c:f>
              <c:strCache>
                <c:ptCount val="1"/>
                <c:pt idx="0">
                  <c:v>Count of Patient Admission Flag</c:v>
                </c:pt>
              </c:strCache>
            </c:strRef>
          </c:tx>
          <c:spPr>
            <a:solidFill>
              <a:schemeClr val="accent2">
                <a:lumMod val="60000"/>
                <a:lumOff val="40000"/>
              </a:schemeClr>
            </a:solidFill>
            <a:ln>
              <a:noFill/>
            </a:ln>
            <a:effectLst/>
          </c:spPr>
          <c:invertIfNegative val="0"/>
          <c:dLbls>
            <c:delete val="1"/>
          </c:dLbls>
          <c:cat>
            <c:strRef>
              <c:f>'Pivot Report'!$C$45:$C$46</c:f>
              <c:strCache>
                <c:ptCount val="2"/>
                <c:pt idx="0">
                  <c:v>Admitted</c:v>
                </c:pt>
                <c:pt idx="1">
                  <c:v>Not Admitted</c:v>
                </c:pt>
              </c:strCache>
            </c:strRef>
          </c:cat>
          <c:val>
            <c:numRef>
              <c:f>'Pivot Report'!$C$45:$C$46</c:f>
              <c:numCache>
                <c:formatCode>0.00</c:formatCode>
                <c:ptCount val="2"/>
                <c:pt idx="0">
                  <c:v>269</c:v>
                </c:pt>
                <c:pt idx="1">
                  <c:v>244</c:v>
                </c:pt>
              </c:numCache>
            </c:numRef>
          </c:val>
          <c:extLst>
            <c:ext xmlns:c16="http://schemas.microsoft.com/office/drawing/2014/chart" uri="{C3380CC4-5D6E-409C-BE32-E72D297353CC}">
              <c16:uniqueId val="{00000009-9593-4382-9C3E-EFE0EF496C00}"/>
            </c:ext>
          </c:extLst>
        </c:ser>
        <c:ser>
          <c:idx val="1"/>
          <c:order val="1"/>
          <c:tx>
            <c:strRef>
              <c:f>'Pivot Report'!$C$45:$C$46</c:f>
              <c:strCache>
                <c:ptCount val="1"/>
                <c:pt idx="0">
                  <c:v>Count of Patient Admission Flag2</c:v>
                </c:pt>
              </c:strCache>
            </c:strRef>
          </c:tx>
          <c:spPr>
            <a:solidFill>
              <a:schemeClr val="accent2"/>
            </a:solidFill>
            <a:ln>
              <a:noFill/>
            </a:ln>
            <a:effectLst/>
          </c:spPr>
          <c:invertIfNegative val="0"/>
          <c:dLbls>
            <c:dLbl>
              <c:idx val="0"/>
              <c:layout>
                <c:manualLayout>
                  <c:x val="0.57782428681923659"/>
                  <c:y val="-3.094338335440901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50202733625412488"/>
                  <c:y val="2.0816681711721685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663688092324056"/>
                      <c:h val="0.45688027347128723"/>
                    </c:manualLayout>
                  </c15:layout>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Report'!$C$45:$C$46</c:f>
              <c:strCache>
                <c:ptCount val="2"/>
                <c:pt idx="0">
                  <c:v>Admitted</c:v>
                </c:pt>
                <c:pt idx="1">
                  <c:v>Not Admitted</c:v>
                </c:pt>
              </c:strCache>
            </c:strRef>
          </c:cat>
          <c:val>
            <c:numRef>
              <c:f>'Pivot Report'!$C$45:$C$46</c:f>
              <c:numCache>
                <c:formatCode>0.00%</c:formatCode>
                <c:ptCount val="2"/>
                <c:pt idx="0">
                  <c:v>0.52436647173489281</c:v>
                </c:pt>
                <c:pt idx="1">
                  <c:v>0.47563352826510719</c:v>
                </c:pt>
              </c:numCache>
            </c:numRef>
          </c:val>
          <c:extLst>
            <c:ext xmlns:c16="http://schemas.microsoft.com/office/drawing/2014/chart" uri="{C3380CC4-5D6E-409C-BE32-E72D297353CC}">
              <c16:uniqueId val="{0000000A-9593-4382-9C3E-EFE0EF496C00}"/>
            </c:ext>
          </c:extLst>
        </c:ser>
        <c:dLbls>
          <c:dLblPos val="outEnd"/>
          <c:showLegendKey val="0"/>
          <c:showVal val="1"/>
          <c:showCatName val="0"/>
          <c:showSerName val="0"/>
          <c:showPercent val="0"/>
          <c:showBubbleSize val="0"/>
        </c:dLbls>
        <c:gapWidth val="182"/>
        <c:axId val="2111865560"/>
        <c:axId val="2111864480"/>
      </c:barChart>
      <c:catAx>
        <c:axId val="2111865560"/>
        <c:scaling>
          <c:orientation val="minMax"/>
        </c:scaling>
        <c:delete val="1"/>
        <c:axPos val="l"/>
        <c:numFmt formatCode="General" sourceLinked="1"/>
        <c:majorTickMark val="none"/>
        <c:minorTickMark val="none"/>
        <c:tickLblPos val="nextTo"/>
        <c:crossAx val="2111864480"/>
        <c:crosses val="autoZero"/>
        <c:auto val="1"/>
        <c:lblAlgn val="ctr"/>
        <c:lblOffset val="100"/>
        <c:noMultiLvlLbl val="0"/>
      </c:catAx>
      <c:valAx>
        <c:axId val="2111864480"/>
        <c:scaling>
          <c:orientation val="minMax"/>
        </c:scaling>
        <c:delete val="1"/>
        <c:axPos val="b"/>
        <c:numFmt formatCode="0.00" sourceLinked="1"/>
        <c:majorTickMark val="none"/>
        <c:minorTickMark val="none"/>
        <c:tickLblPos val="nextTo"/>
        <c:crossAx val="2111865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12"/>
  </c:pivotSource>
  <c:chart>
    <c:autoTitleDeleted val="1"/>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07202437777086"/>
          <c:y val="0.33847126709351044"/>
          <c:w val="0.76792797562222914"/>
          <c:h val="0.64831987485907083"/>
        </c:manualLayout>
      </c:layout>
      <c:areaChart>
        <c:grouping val="stacked"/>
        <c:varyColors val="0"/>
        <c:ser>
          <c:idx val="0"/>
          <c:order val="0"/>
          <c:tx>
            <c:strRef>
              <c:f>'Pivot Report'!$F$4</c:f>
              <c:strCache>
                <c:ptCount val="1"/>
                <c:pt idx="0">
                  <c:v>Total</c:v>
                </c:pt>
              </c:strCache>
            </c:strRef>
          </c:tx>
          <c:spPr>
            <a:solidFill>
              <a:schemeClr val="tx1">
                <a:lumMod val="85000"/>
                <a:lumOff val="15000"/>
              </a:schemeClr>
            </a:solidFill>
            <a:ln w="25400">
              <a:noFill/>
            </a:ln>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74CA-4594-BF6E-250C99442191}"/>
            </c:ext>
          </c:extLst>
        </c:ser>
        <c:dLbls>
          <c:showLegendKey val="0"/>
          <c:showVal val="0"/>
          <c:showCatName val="0"/>
          <c:showSerName val="0"/>
          <c:showPercent val="0"/>
          <c:showBubbleSize val="0"/>
        </c:dLbls>
        <c:axId val="61808183"/>
        <c:axId val="61808903"/>
      </c:areaChart>
      <c:catAx>
        <c:axId val="61808183"/>
        <c:scaling>
          <c:orientation val="minMax"/>
        </c:scaling>
        <c:delete val="1"/>
        <c:axPos val="b"/>
        <c:numFmt formatCode="General" sourceLinked="1"/>
        <c:majorTickMark val="out"/>
        <c:minorTickMark val="none"/>
        <c:tickLblPos val="nextTo"/>
        <c:crossAx val="61808903"/>
        <c:crosses val="autoZero"/>
        <c:auto val="1"/>
        <c:lblAlgn val="ctr"/>
        <c:lblOffset val="100"/>
        <c:noMultiLvlLbl val="0"/>
      </c:catAx>
      <c:valAx>
        <c:axId val="61808903"/>
        <c:scaling>
          <c:orientation val="minMax"/>
        </c:scaling>
        <c:delete val="1"/>
        <c:axPos val="l"/>
        <c:numFmt formatCode="General" sourceLinked="1"/>
        <c:majorTickMark val="none"/>
        <c:minorTickMark val="none"/>
        <c:tickLblPos val="nextTo"/>
        <c:crossAx val="61808183"/>
        <c:crosses val="autoZero"/>
        <c:crossBetween val="midCat"/>
      </c:valAx>
      <c:spPr>
        <a:noFill/>
        <a:ln>
          <a:noFill/>
        </a:ln>
        <a:effectLst>
          <a:softEdge rad="8890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2"/>
  </c:pivotSource>
  <c:chart>
    <c:autoTitleDeleted val="1"/>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02817799436087E-3"/>
          <c:y val="0.34379447860590451"/>
          <c:w val="0.95911496287509068"/>
          <c:h val="0.65620552139409549"/>
        </c:manualLayout>
      </c:layout>
      <c:areaChart>
        <c:grouping val="standard"/>
        <c:varyColors val="0"/>
        <c:ser>
          <c:idx val="0"/>
          <c:order val="0"/>
          <c:tx>
            <c:strRef>
              <c:f>'Pivot Report'!$J$5</c:f>
              <c:strCache>
                <c:ptCount val="1"/>
                <c:pt idx="0">
                  <c:v>Total</c:v>
                </c:pt>
              </c:strCache>
            </c:strRef>
          </c:tx>
          <c:spPr>
            <a:solidFill>
              <a:schemeClr val="tx1">
                <a:lumMod val="85000"/>
                <a:lumOff val="15000"/>
              </a:schemeClr>
            </a:solidFill>
            <a:ln w="25400">
              <a:noFill/>
            </a:ln>
            <a:effectLst/>
          </c:spPr>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870E-454E-BBB6-34B3DDB30361}"/>
            </c:ext>
          </c:extLst>
        </c:ser>
        <c:dLbls>
          <c:showLegendKey val="0"/>
          <c:showVal val="0"/>
          <c:showCatName val="0"/>
          <c:showSerName val="0"/>
          <c:showPercent val="0"/>
          <c:showBubbleSize val="0"/>
        </c:dLbls>
        <c:axId val="2116186072"/>
        <c:axId val="2116186792"/>
      </c:areaChart>
      <c:catAx>
        <c:axId val="2116186072"/>
        <c:scaling>
          <c:orientation val="minMax"/>
        </c:scaling>
        <c:delete val="1"/>
        <c:axPos val="b"/>
        <c:numFmt formatCode="General" sourceLinked="1"/>
        <c:majorTickMark val="out"/>
        <c:minorTickMark val="none"/>
        <c:tickLblPos val="nextTo"/>
        <c:crossAx val="2116186792"/>
        <c:crosses val="autoZero"/>
        <c:auto val="1"/>
        <c:lblAlgn val="ctr"/>
        <c:lblOffset val="100"/>
        <c:noMultiLvlLbl val="0"/>
      </c:catAx>
      <c:valAx>
        <c:axId val="2116186792"/>
        <c:scaling>
          <c:orientation val="minMax"/>
        </c:scaling>
        <c:delete val="1"/>
        <c:axPos val="l"/>
        <c:numFmt formatCode="0.00" sourceLinked="1"/>
        <c:majorTickMark val="none"/>
        <c:minorTickMark val="none"/>
        <c:tickLblPos val="nextTo"/>
        <c:crossAx val="2116186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69548827311715E-2"/>
          <c:y val="0.13421000551442686"/>
          <c:w val="0.92140526328352723"/>
          <c:h val="0.74378089856336693"/>
        </c:manualLayout>
      </c:layout>
      <c:areaChart>
        <c:grouping val="standard"/>
        <c:varyColors val="0"/>
        <c:ser>
          <c:idx val="0"/>
          <c:order val="0"/>
          <c:tx>
            <c:strRef>
              <c:f>'Pivot Report'!$N$5</c:f>
              <c:strCache>
                <c:ptCount val="1"/>
                <c:pt idx="0">
                  <c:v>Total</c:v>
                </c:pt>
              </c:strCache>
            </c:strRef>
          </c:tx>
          <c:spPr>
            <a:solidFill>
              <a:schemeClr val="tx1">
                <a:lumMod val="85000"/>
                <a:lumOff val="15000"/>
              </a:schemeClr>
            </a:solidFill>
            <a:ln w="25400">
              <a:noFill/>
            </a:ln>
            <a:effectLst/>
          </c:spPr>
          <c:cat>
            <c:strRef>
              <c:f>'Pivot Report'!$M$6:$M$37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Report'!$N$6:$N$37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8998-4CFE-8D50-85B6EF230782}"/>
            </c:ext>
          </c:extLst>
        </c:ser>
        <c:dLbls>
          <c:showLegendKey val="0"/>
          <c:showVal val="0"/>
          <c:showCatName val="0"/>
          <c:showSerName val="0"/>
          <c:showPercent val="0"/>
          <c:showBubbleSize val="0"/>
        </c:dLbls>
        <c:axId val="232390959"/>
        <c:axId val="232397799"/>
      </c:areaChart>
      <c:catAx>
        <c:axId val="232390959"/>
        <c:scaling>
          <c:orientation val="minMax"/>
        </c:scaling>
        <c:delete val="1"/>
        <c:axPos val="b"/>
        <c:numFmt formatCode="General" sourceLinked="1"/>
        <c:majorTickMark val="out"/>
        <c:minorTickMark val="none"/>
        <c:tickLblPos val="nextTo"/>
        <c:crossAx val="232397799"/>
        <c:crosses val="autoZero"/>
        <c:auto val="1"/>
        <c:lblAlgn val="ctr"/>
        <c:lblOffset val="100"/>
        <c:noMultiLvlLbl val="0"/>
      </c:catAx>
      <c:valAx>
        <c:axId val="232397799"/>
        <c:scaling>
          <c:orientation val="minMax"/>
        </c:scaling>
        <c:delete val="1"/>
        <c:axPos val="l"/>
        <c:numFmt formatCode="0.00" sourceLinked="1"/>
        <c:majorTickMark val="none"/>
        <c:minorTickMark val="none"/>
        <c:tickLblPos val="nextTo"/>
        <c:crossAx val="232390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85833862187095E-2"/>
          <c:y val="1.523971958915956E-2"/>
          <c:w val="0.94663788797220905"/>
          <c:h val="0.73194973212492886"/>
        </c:manualLayout>
      </c:layout>
      <c:barChart>
        <c:barDir val="col"/>
        <c:grouping val="clustered"/>
        <c:varyColors val="0"/>
        <c:ser>
          <c:idx val="0"/>
          <c:order val="0"/>
          <c:tx>
            <c:strRef>
              <c:f>'Pivot Report'!$B$60</c:f>
              <c:strCache>
                <c:ptCount val="1"/>
                <c:pt idx="0">
                  <c:v>Total</c:v>
                </c:pt>
              </c:strCache>
            </c:strRef>
          </c:tx>
          <c:spPr>
            <a:solidFill>
              <a:schemeClr val="bg2">
                <a:lumMod val="25000"/>
              </a:schemeClr>
            </a:solidFill>
            <a:ln>
              <a:noFill/>
            </a:ln>
            <a:effectLst/>
          </c:spPr>
          <c:invertIfNegative val="0"/>
          <c:cat>
            <c:strRef>
              <c:f>'Pivot Report'!$A$61:$A$69</c:f>
              <c:strCache>
                <c:ptCount val="8"/>
                <c:pt idx="0">
                  <c:v>0-9</c:v>
                </c:pt>
                <c:pt idx="1">
                  <c:v>10-19</c:v>
                </c:pt>
                <c:pt idx="2">
                  <c:v>20-29</c:v>
                </c:pt>
                <c:pt idx="3">
                  <c:v>30-39</c:v>
                </c:pt>
                <c:pt idx="4">
                  <c:v>40-49</c:v>
                </c:pt>
                <c:pt idx="5">
                  <c:v>50-59</c:v>
                </c:pt>
                <c:pt idx="6">
                  <c:v>60-69</c:v>
                </c:pt>
                <c:pt idx="7">
                  <c:v>70-79</c:v>
                </c:pt>
              </c:strCache>
            </c:strRef>
          </c:cat>
          <c:val>
            <c:numRef>
              <c:f>'Pivot Report'!$B$61:$B$69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1DB5-420B-AC36-1213B55611EF}"/>
            </c:ext>
          </c:extLst>
        </c:ser>
        <c:dLbls>
          <c:showLegendKey val="0"/>
          <c:showVal val="0"/>
          <c:showCatName val="0"/>
          <c:showSerName val="0"/>
          <c:showPercent val="0"/>
          <c:showBubbleSize val="0"/>
        </c:dLbls>
        <c:gapWidth val="219"/>
        <c:overlap val="-27"/>
        <c:axId val="233046799"/>
        <c:axId val="233047879"/>
      </c:barChart>
      <c:catAx>
        <c:axId val="23304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33047879"/>
        <c:crosses val="autoZero"/>
        <c:auto val="1"/>
        <c:lblAlgn val="ctr"/>
        <c:lblOffset val="100"/>
        <c:noMultiLvlLbl val="0"/>
      </c:catAx>
      <c:valAx>
        <c:axId val="233047879"/>
        <c:scaling>
          <c:orientation val="minMax"/>
        </c:scaling>
        <c:delete val="1"/>
        <c:axPos val="l"/>
        <c:numFmt formatCode="0" sourceLinked="1"/>
        <c:majorTickMark val="none"/>
        <c:minorTickMark val="none"/>
        <c:tickLblPos val="nextTo"/>
        <c:crossAx val="23304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[Book1.xlsx]Pivot Report!PivotTable9</c:name>
    <c:fmtId val="9"/>
  </c:pivotSource>
  <c:chart>
    <c:autoTitleDeleted val="1"/>
    <c:pivotFmts>
      <c:pivotFmt>
        <c:idx val="0"/>
      </c:pivotFmt>
      <c:pivotFmt>
        <c:idx val="1"/>
      </c:pivotFmt>
      <c:pivotFmt>
        <c:idx val="2"/>
      </c:pivotFmt>
      <c:pivotFmt>
        <c:idx val="3"/>
      </c:pivotFmt>
      <c:pivotFmt>
        <c:idx val="4"/>
        <c:spPr>
          <a:solidFill>
            <a:schemeClr val="accent2"/>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tx2">
              <a:lumMod val="75000"/>
            </a:schemeClr>
          </a:solidFill>
          <a:ln>
            <a:noFill/>
          </a:ln>
          <a:effectLst/>
        </c:spPr>
      </c:pivotFmt>
      <c:pivotFmt>
        <c:idx val="6"/>
        <c:spPr>
          <a:solidFill>
            <a:schemeClr val="accent2">
              <a:lumMod val="75000"/>
            </a:schemeClr>
          </a:solidFill>
          <a:ln>
            <a:noFill/>
          </a:ln>
          <a:effectLst/>
        </c:spPr>
      </c:pivotFmt>
    </c:pivotFmts>
    <c:plotArea>
      <c:layout>
        <c:manualLayout>
          <c:layoutTarget val="inner"/>
          <c:xMode val="edge"/>
          <c:yMode val="edge"/>
          <c:x val="0.29290681721413586"/>
          <c:y val="8.054989909012171E-2"/>
          <c:w val="0.59858357119202688"/>
          <c:h val="0.782020241310172"/>
        </c:manualLayout>
      </c:layout>
      <c:pieChart>
        <c:varyColors val="1"/>
        <c:ser>
          <c:idx val="0"/>
          <c:order val="0"/>
          <c:tx>
            <c:strRef>
              <c:f>'Pivot Report'!$F$60</c:f>
              <c:strCache>
                <c:ptCount val="1"/>
                <c:pt idx="0">
                  <c:v>Total</c:v>
                </c:pt>
              </c:strCache>
            </c:strRef>
          </c:tx>
          <c:spPr>
            <a:effectLst/>
          </c:spPr>
          <c:dPt>
            <c:idx val="0"/>
            <c:bubble3D val="0"/>
            <c:spPr>
              <a:solidFill>
                <a:schemeClr val="tx2">
                  <a:lumMod val="75000"/>
                </a:schemeClr>
              </a:solidFill>
              <a:ln>
                <a:noFill/>
              </a:ln>
              <a:effectLst/>
            </c:spPr>
          </c:dPt>
          <c:dPt>
            <c:idx val="1"/>
            <c:bubble3D val="0"/>
            <c:spPr>
              <a:solidFill>
                <a:schemeClr val="accent2">
                  <a:lumMod val="75000"/>
                </a:schemeClr>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Report'!$E$61:$E$63</c:f>
              <c:strCache>
                <c:ptCount val="2"/>
                <c:pt idx="0">
                  <c:v>Delay</c:v>
                </c:pt>
                <c:pt idx="1">
                  <c:v>Ontime</c:v>
                </c:pt>
              </c:strCache>
            </c:strRef>
          </c:cat>
          <c:val>
            <c:numRef>
              <c:f>'Pivot Report'!$F$61:$F$63</c:f>
              <c:numCache>
                <c:formatCode>0</c:formatCode>
                <c:ptCount val="2"/>
                <c:pt idx="0">
                  <c:v>316</c:v>
                </c:pt>
                <c:pt idx="1">
                  <c:v>197</c:v>
                </c:pt>
              </c:numCache>
            </c:numRef>
          </c:val>
          <c:extLst>
            <c:ext xmlns:c16="http://schemas.microsoft.com/office/drawing/2014/chart" uri="{C3380CC4-5D6E-409C-BE32-E72D297353CC}">
              <c16:uniqueId val="{0000000E-41C4-4835-9D99-64D2D02A1844}"/>
            </c:ext>
          </c:extLst>
        </c:ser>
        <c:dLbls>
          <c:dLblPos val="ctr"/>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7"/>
  </c:pivotSource>
  <c:chart>
    <c:autoTitleDeleted val="1"/>
    <c:pivotFmts>
      <c:pivotFmt>
        <c:idx val="0"/>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tx2">
              <a:lumMod val="75000"/>
            </a:schemeClr>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chemeClr val="tx2">
              <a:lumMod val="75000"/>
            </a:schemeClr>
          </a:solidFill>
          <a:ln>
            <a:noFill/>
          </a:ln>
          <a:effectLst/>
        </c:spPr>
      </c:pivotFmt>
    </c:pivotFmts>
    <c:plotArea>
      <c:layout>
        <c:manualLayout>
          <c:layoutTarget val="inner"/>
          <c:xMode val="edge"/>
          <c:yMode val="edge"/>
          <c:x val="0.11806765517441919"/>
          <c:y val="0.16240816512784631"/>
          <c:w val="0.44060007298411508"/>
          <c:h val="0.73093669939874095"/>
        </c:manualLayout>
      </c:layout>
      <c:doughnutChart>
        <c:varyColors val="1"/>
        <c:ser>
          <c:idx val="0"/>
          <c:order val="0"/>
          <c:tx>
            <c:strRef>
              <c:f>'Pivot Report'!$J$60</c:f>
              <c:strCache>
                <c:ptCount val="1"/>
                <c:pt idx="0">
                  <c:v>Total</c:v>
                </c:pt>
              </c:strCache>
            </c:strRef>
          </c:tx>
          <c:spPr>
            <a:solidFill>
              <a:schemeClr val="tx2">
                <a:lumMod val="75000"/>
              </a:schemeClr>
            </a:solidFill>
            <a:effectLst/>
          </c:spPr>
          <c:dPt>
            <c:idx val="0"/>
            <c:bubble3D val="0"/>
            <c:spPr>
              <a:solidFill>
                <a:schemeClr val="accent2">
                  <a:lumMod val="75000"/>
                </a:schemeClr>
              </a:solidFill>
              <a:ln>
                <a:noFill/>
              </a:ln>
              <a:effectLst/>
            </c:spPr>
          </c:dPt>
          <c:dPt>
            <c:idx val="1"/>
            <c:bubble3D val="0"/>
            <c:spPr>
              <a:solidFill>
                <a:schemeClr val="tx2">
                  <a:lumMod val="75000"/>
                </a:schemeClr>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Report'!$I$61:$I$63</c:f>
              <c:strCache>
                <c:ptCount val="2"/>
                <c:pt idx="0">
                  <c:v>Female</c:v>
                </c:pt>
                <c:pt idx="1">
                  <c:v>Male</c:v>
                </c:pt>
              </c:strCache>
            </c:strRef>
          </c:cat>
          <c:val>
            <c:numRef>
              <c:f>'Pivot Report'!$J$61:$J$63</c:f>
              <c:numCache>
                <c:formatCode>0</c:formatCode>
                <c:ptCount val="2"/>
                <c:pt idx="0">
                  <c:v>241</c:v>
                </c:pt>
                <c:pt idx="1">
                  <c:v>272</c:v>
                </c:pt>
              </c:numCache>
            </c:numRef>
          </c:val>
          <c:extLst>
            <c:ext xmlns:c16="http://schemas.microsoft.com/office/drawing/2014/chart" uri="{C3380CC4-5D6E-409C-BE32-E72D297353CC}">
              <c16:uniqueId val="{00000007-00FD-4C55-A078-CA43189B0FE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9126102980953132E-2"/>
          <c:y val="2.6395422869572208E-2"/>
          <c:w val="0.47457540980213864"/>
          <c:h val="0.1229541004908724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1814698945204"/>
          <c:y val="6.5462335800520285E-2"/>
          <c:w val="0.80101281617405817"/>
          <c:h val="0.92062364022865972"/>
        </c:manualLayout>
      </c:layout>
      <c:barChart>
        <c:barDir val="bar"/>
        <c:grouping val="clustered"/>
        <c:varyColors val="0"/>
        <c:ser>
          <c:idx val="0"/>
          <c:order val="0"/>
          <c:tx>
            <c:strRef>
              <c:f>'Pivot Report'!$J$66</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Report'!$I$67:$I$75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Report'!$J$67:$J$75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C963-41BB-A1D6-70B0CA489E0C}"/>
            </c:ext>
          </c:extLst>
        </c:ser>
        <c:dLbls>
          <c:dLblPos val="outEnd"/>
          <c:showLegendKey val="0"/>
          <c:showVal val="1"/>
          <c:showCatName val="0"/>
          <c:showSerName val="0"/>
          <c:showPercent val="0"/>
          <c:showBubbleSize val="0"/>
        </c:dLbls>
        <c:gapWidth val="182"/>
        <c:axId val="223790783"/>
        <c:axId val="223791143"/>
      </c:barChart>
      <c:catAx>
        <c:axId val="22379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91143"/>
        <c:crosses val="autoZero"/>
        <c:auto val="1"/>
        <c:lblAlgn val="ctr"/>
        <c:lblOffset val="100"/>
        <c:noMultiLvlLbl val="0"/>
      </c:catAx>
      <c:valAx>
        <c:axId val="223791143"/>
        <c:scaling>
          <c:orientation val="minMax"/>
        </c:scaling>
        <c:delete val="1"/>
        <c:axPos val="b"/>
        <c:numFmt formatCode="0" sourceLinked="1"/>
        <c:majorTickMark val="none"/>
        <c:minorTickMark val="none"/>
        <c:tickLblPos val="nextTo"/>
        <c:crossAx val="22379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[Book1.xlsx]Pivot Report!PivotTable4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60138072177304E-2"/>
          <c:y val="7.8049072845906481E-2"/>
          <c:w val="0.95618563386670308"/>
          <c:h val="0.71936342839679424"/>
        </c:manualLayout>
      </c:layout>
      <c:areaChart>
        <c:grouping val="stacke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0512-451E-AEA7-9D13E0CB46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808183"/>
        <c:axId val="61808903"/>
      </c:areaChart>
      <c:catAx>
        <c:axId val="61808183"/>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61808903"/>
        <c:crosses val="autoZero"/>
        <c:auto val="1"/>
        <c:lblAlgn val="ctr"/>
        <c:lblOffset val="100"/>
        <c:noMultiLvlLbl val="0"/>
      </c:catAx>
      <c:valAx>
        <c:axId val="61808903"/>
        <c:scaling>
          <c:orientation val="minMax"/>
        </c:scaling>
        <c:delete val="1"/>
        <c:axPos val="l"/>
        <c:numFmt formatCode="General" sourceLinked="1"/>
        <c:majorTickMark val="out"/>
        <c:minorTickMark val="none"/>
        <c:tickLblPos val="nextTo"/>
        <c:crossAx val="61808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[Book1.xlsx]Pivot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02817799436087E-3"/>
          <c:y val="5.7001059355715901E-2"/>
          <c:w val="0.95911496287509068"/>
          <c:h val="0.72238647254734423"/>
        </c:manualLayout>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F4AD-4E12-9220-66F1E501FBF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6186072"/>
        <c:axId val="2116186792"/>
      </c:areaChart>
      <c:catAx>
        <c:axId val="2116186072"/>
        <c:scaling>
          <c:orientation val="minMax"/>
        </c:scaling>
        <c:delete val="0"/>
        <c:axPos val="b"/>
        <c:numFmt formatCode="General" sourceLinked="1"/>
        <c:majorTickMark val="none"/>
        <c:minorTickMark val="none"/>
        <c:tickLblPos val="nextTo"/>
        <c:spPr>
          <a:noFill/>
          <a:ln w="9525" cap="flat" cmpd="sng" algn="ctr">
            <a:solidFill>
              <a:schemeClr val="accent3">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2116186792"/>
        <c:crosses val="autoZero"/>
        <c:auto val="1"/>
        <c:lblAlgn val="ctr"/>
        <c:lblOffset val="100"/>
        <c:noMultiLvlLbl val="0"/>
      </c:catAx>
      <c:valAx>
        <c:axId val="2116186792"/>
        <c:scaling>
          <c:orientation val="minMax"/>
        </c:scaling>
        <c:delete val="1"/>
        <c:axPos val="l"/>
        <c:numFmt formatCode="0.00" sourceLinked="1"/>
        <c:majorTickMark val="out"/>
        <c:minorTickMark val="none"/>
        <c:tickLblPos val="nextTo"/>
        <c:crossAx val="2116186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[Book1.xlsx]Pivot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69548827311715E-2"/>
          <c:y val="7.8242960370694406E-2"/>
          <c:w val="0.93029417322834651"/>
          <c:h val="0.76011319266647981"/>
        </c:manualLayout>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Report'!$M$6:$M$37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Report'!$N$6:$N$37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54E2-4AB9-98ED-7A37EC4E5D6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2390959"/>
        <c:axId val="232397799"/>
      </c:areaChart>
      <c:catAx>
        <c:axId val="232390959"/>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232397799"/>
        <c:crosses val="autoZero"/>
        <c:auto val="1"/>
        <c:lblAlgn val="ctr"/>
        <c:lblOffset val="100"/>
        <c:noMultiLvlLbl val="0"/>
      </c:catAx>
      <c:valAx>
        <c:axId val="232397799"/>
        <c:scaling>
          <c:orientation val="minMax"/>
        </c:scaling>
        <c:delete val="1"/>
        <c:axPos val="l"/>
        <c:numFmt formatCode="0.00" sourceLinked="1"/>
        <c:majorTickMark val="out"/>
        <c:minorTickMark val="none"/>
        <c:tickLblPos val="nextTo"/>
        <c:crossAx val="232390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30977</xdr:colOff>
      <xdr:row>54</xdr:row>
      <xdr:rowOff>15488</xdr:rowOff>
    </xdr:from>
    <xdr:to>
      <xdr:col>3</xdr:col>
      <xdr:colOff>1362927</xdr:colOff>
      <xdr:row>56</xdr:row>
      <xdr:rowOff>38720</xdr:rowOff>
    </xdr:to>
    <xdr:graphicFrame macro="">
      <xdr:nvGraphicFramePr>
        <xdr:cNvPr id="8" name="Chart 7">
          <a:extLst>
            <a:ext uri="{FF2B5EF4-FFF2-40B4-BE49-F238E27FC236}">
              <a16:creationId xmlns:a16="http://schemas.microsoft.com/office/drawing/2014/main" id="{9ACEF5E3-AD83-4F1E-8FC8-6B84DC65E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94392</xdr:colOff>
      <xdr:row>0</xdr:row>
      <xdr:rowOff>60068</xdr:rowOff>
    </xdr:from>
    <xdr:to>
      <xdr:col>8</xdr:col>
      <xdr:colOff>197366</xdr:colOff>
      <xdr:row>4</xdr:row>
      <xdr:rowOff>145879</xdr:rowOff>
    </xdr:to>
    <xdr:sp macro="" textlink="">
      <xdr:nvSpPr>
        <xdr:cNvPr id="2" name="Rectangle: Rounded Corners 1">
          <a:extLst>
            <a:ext uri="{FF2B5EF4-FFF2-40B4-BE49-F238E27FC236}">
              <a16:creationId xmlns:a16="http://schemas.microsoft.com/office/drawing/2014/main" id="{55282EEB-7245-D692-B0CF-9A758F49CEBA}"/>
            </a:ext>
          </a:extLst>
        </xdr:cNvPr>
        <xdr:cNvSpPr/>
      </xdr:nvSpPr>
      <xdr:spPr>
        <a:xfrm>
          <a:off x="94392" y="60068"/>
          <a:ext cx="4935169" cy="829226"/>
        </a:xfrm>
        <a:prstGeom prst="roundRect">
          <a:avLst/>
        </a:prstGeom>
        <a:solidFill>
          <a:schemeClr val="bg1"/>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300338</xdr:colOff>
      <xdr:row>0</xdr:row>
      <xdr:rowOff>68648</xdr:rowOff>
    </xdr:from>
    <xdr:to>
      <xdr:col>12</xdr:col>
      <xdr:colOff>49098</xdr:colOff>
      <xdr:row>4</xdr:row>
      <xdr:rowOff>176752</xdr:rowOff>
    </xdr:to>
    <xdr:sp macro="" textlink="">
      <xdr:nvSpPr>
        <xdr:cNvPr id="3" name="Rectangle: Rounded Corners 2">
          <a:extLst>
            <a:ext uri="{FF2B5EF4-FFF2-40B4-BE49-F238E27FC236}">
              <a16:creationId xmlns:a16="http://schemas.microsoft.com/office/drawing/2014/main" id="{EC853F29-18E7-DDD0-CC33-4CE710C70EB9}"/>
            </a:ext>
          </a:extLst>
        </xdr:cNvPr>
        <xdr:cNvSpPr/>
      </xdr:nvSpPr>
      <xdr:spPr>
        <a:xfrm>
          <a:off x="5170853" y="68648"/>
          <a:ext cx="2184018" cy="854393"/>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139391</xdr:colOff>
      <xdr:row>0</xdr:row>
      <xdr:rowOff>54401</xdr:rowOff>
    </xdr:from>
    <xdr:to>
      <xdr:col>16</xdr:col>
      <xdr:colOff>0</xdr:colOff>
      <xdr:row>12</xdr:row>
      <xdr:rowOff>34846</xdr:rowOff>
    </xdr:to>
    <xdr:sp macro="" textlink="">
      <xdr:nvSpPr>
        <xdr:cNvPr id="4" name="Rectangle: Rounded Corners 3">
          <a:extLst>
            <a:ext uri="{FF2B5EF4-FFF2-40B4-BE49-F238E27FC236}">
              <a16:creationId xmlns:a16="http://schemas.microsoft.com/office/drawing/2014/main" id="{48994F4C-E59F-107A-9DD8-463D8207847F}"/>
            </a:ext>
          </a:extLst>
        </xdr:cNvPr>
        <xdr:cNvSpPr/>
      </xdr:nvSpPr>
      <xdr:spPr>
        <a:xfrm>
          <a:off x="7387684" y="54401"/>
          <a:ext cx="2276706" cy="2210689"/>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114300</xdr:colOff>
      <xdr:row>0</xdr:row>
      <xdr:rowOff>47625</xdr:rowOff>
    </xdr:from>
    <xdr:to>
      <xdr:col>20</xdr:col>
      <xdr:colOff>23232</xdr:colOff>
      <xdr:row>12</xdr:row>
      <xdr:rowOff>0</xdr:rowOff>
    </xdr:to>
    <xdr:sp macro="" textlink="">
      <xdr:nvSpPr>
        <xdr:cNvPr id="5" name="Rectangle: Rounded Corners 4">
          <a:extLst>
            <a:ext uri="{FF2B5EF4-FFF2-40B4-BE49-F238E27FC236}">
              <a16:creationId xmlns:a16="http://schemas.microsoft.com/office/drawing/2014/main" id="{C03AF928-EA02-870A-1032-D872D28FF0A4}"/>
            </a:ext>
          </a:extLst>
        </xdr:cNvPr>
        <xdr:cNvSpPr/>
      </xdr:nvSpPr>
      <xdr:spPr>
        <a:xfrm>
          <a:off x="9926355" y="47625"/>
          <a:ext cx="2361945" cy="2301005"/>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102973</xdr:colOff>
      <xdr:row>5</xdr:row>
      <xdr:rowOff>60067</xdr:rowOff>
    </xdr:from>
    <xdr:to>
      <xdr:col>1</xdr:col>
      <xdr:colOff>549189</xdr:colOff>
      <xdr:row>25</xdr:row>
      <xdr:rowOff>44302</xdr:rowOff>
    </xdr:to>
    <xdr:sp macro="" textlink="">
      <xdr:nvSpPr>
        <xdr:cNvPr id="6" name="Rectangle: Rounded Corners 5">
          <a:extLst>
            <a:ext uri="{FF2B5EF4-FFF2-40B4-BE49-F238E27FC236}">
              <a16:creationId xmlns:a16="http://schemas.microsoft.com/office/drawing/2014/main" id="{B7FA149D-15B3-5565-5983-D97A30E0C69B}"/>
            </a:ext>
          </a:extLst>
        </xdr:cNvPr>
        <xdr:cNvSpPr/>
      </xdr:nvSpPr>
      <xdr:spPr>
        <a:xfrm>
          <a:off x="102973" y="1001491"/>
          <a:ext cx="1055373" cy="3749933"/>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34324</xdr:colOff>
      <xdr:row>5</xdr:row>
      <xdr:rowOff>60067</xdr:rowOff>
    </xdr:from>
    <xdr:to>
      <xdr:col>5</xdr:col>
      <xdr:colOff>145878</xdr:colOff>
      <xdr:row>11</xdr:row>
      <xdr:rowOff>162623</xdr:rowOff>
    </xdr:to>
    <xdr:sp macro="" textlink="">
      <xdr:nvSpPr>
        <xdr:cNvPr id="7" name="Rectangle: Rounded Corners 6">
          <a:extLst>
            <a:ext uri="{FF2B5EF4-FFF2-40B4-BE49-F238E27FC236}">
              <a16:creationId xmlns:a16="http://schemas.microsoft.com/office/drawing/2014/main" id="{7E9464F6-38BD-861A-FE28-5AD4F936EA91}"/>
            </a:ext>
          </a:extLst>
        </xdr:cNvPr>
        <xdr:cNvSpPr/>
      </xdr:nvSpPr>
      <xdr:spPr>
        <a:xfrm>
          <a:off x="1242373" y="989335"/>
          <a:ext cx="1923627" cy="1217678"/>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223108</xdr:colOff>
      <xdr:row>5</xdr:row>
      <xdr:rowOff>60065</xdr:rowOff>
    </xdr:from>
    <xdr:to>
      <xdr:col>8</xdr:col>
      <xdr:colOff>334662</xdr:colOff>
      <xdr:row>11</xdr:row>
      <xdr:rowOff>174238</xdr:rowOff>
    </xdr:to>
    <xdr:sp macro="" textlink="">
      <xdr:nvSpPr>
        <xdr:cNvPr id="8" name="Rectangle: Rounded Corners 7">
          <a:extLst>
            <a:ext uri="{FF2B5EF4-FFF2-40B4-BE49-F238E27FC236}">
              <a16:creationId xmlns:a16="http://schemas.microsoft.com/office/drawing/2014/main" id="{A3AE6230-7E82-34B2-E8A6-0DBC27D989AB}"/>
            </a:ext>
          </a:extLst>
        </xdr:cNvPr>
        <xdr:cNvSpPr/>
      </xdr:nvSpPr>
      <xdr:spPr>
        <a:xfrm>
          <a:off x="3281134" y="1012565"/>
          <a:ext cx="1946370" cy="1257173"/>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403309</xdr:colOff>
      <xdr:row>5</xdr:row>
      <xdr:rowOff>60067</xdr:rowOff>
    </xdr:from>
    <xdr:to>
      <xdr:col>12</xdr:col>
      <xdr:colOff>47624</xdr:colOff>
      <xdr:row>12</xdr:row>
      <xdr:rowOff>1</xdr:rowOff>
    </xdr:to>
    <xdr:sp macro="" textlink="">
      <xdr:nvSpPr>
        <xdr:cNvPr id="9" name="Rectangle: Rounded Corners 8">
          <a:extLst>
            <a:ext uri="{FF2B5EF4-FFF2-40B4-BE49-F238E27FC236}">
              <a16:creationId xmlns:a16="http://schemas.microsoft.com/office/drawing/2014/main" id="{EAB7E3AA-57F1-CA11-D9BC-E86016F91BB1}"/>
            </a:ext>
          </a:extLst>
        </xdr:cNvPr>
        <xdr:cNvSpPr/>
      </xdr:nvSpPr>
      <xdr:spPr>
        <a:xfrm>
          <a:off x="5235504" y="989335"/>
          <a:ext cx="2060413" cy="1240910"/>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38083</xdr:colOff>
      <xdr:row>12</xdr:row>
      <xdr:rowOff>51232</xdr:rowOff>
    </xdr:from>
    <xdr:to>
      <xdr:col>12</xdr:col>
      <xdr:colOff>49642</xdr:colOff>
      <xdr:row>17</xdr:row>
      <xdr:rowOff>60158</xdr:rowOff>
    </xdr:to>
    <xdr:sp macro="" textlink="">
      <xdr:nvSpPr>
        <xdr:cNvPr id="10" name="Rectangle: Rounded Corners 9">
          <a:extLst>
            <a:ext uri="{FF2B5EF4-FFF2-40B4-BE49-F238E27FC236}">
              <a16:creationId xmlns:a16="http://schemas.microsoft.com/office/drawing/2014/main" id="{F5AB4E44-C401-6D9F-49C5-F1899C852243}"/>
            </a:ext>
          </a:extLst>
        </xdr:cNvPr>
        <xdr:cNvSpPr/>
      </xdr:nvSpPr>
      <xdr:spPr>
        <a:xfrm>
          <a:off x="1267115" y="2386393"/>
          <a:ext cx="6156721" cy="981910"/>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6416</xdr:colOff>
      <xdr:row>17</xdr:row>
      <xdr:rowOff>131444</xdr:rowOff>
    </xdr:from>
    <xdr:to>
      <xdr:col>12</xdr:col>
      <xdr:colOff>67343</xdr:colOff>
      <xdr:row>30</xdr:row>
      <xdr:rowOff>73362</xdr:rowOff>
    </xdr:to>
    <xdr:sp macro="" textlink="">
      <xdr:nvSpPr>
        <xdr:cNvPr id="11" name="Rectangle: Rounded Corners 10">
          <a:extLst>
            <a:ext uri="{FF2B5EF4-FFF2-40B4-BE49-F238E27FC236}">
              <a16:creationId xmlns:a16="http://schemas.microsoft.com/office/drawing/2014/main" id="{80F0066C-4DD9-E993-573A-DD3C761BE1FA}"/>
            </a:ext>
          </a:extLst>
        </xdr:cNvPr>
        <xdr:cNvSpPr/>
      </xdr:nvSpPr>
      <xdr:spPr>
        <a:xfrm>
          <a:off x="1231059" y="3436036"/>
          <a:ext cx="6184141" cy="2468959"/>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174238</xdr:colOff>
      <xdr:row>12</xdr:row>
      <xdr:rowOff>116158</xdr:rowOff>
    </xdr:from>
    <xdr:to>
      <xdr:col>20</xdr:col>
      <xdr:colOff>59532</xdr:colOff>
      <xdr:row>30</xdr:row>
      <xdr:rowOff>11615</xdr:rowOff>
    </xdr:to>
    <xdr:sp macro="" textlink="">
      <xdr:nvSpPr>
        <xdr:cNvPr id="23" name="Rectangle: Rounded Corners 22">
          <a:extLst>
            <a:ext uri="{FF2B5EF4-FFF2-40B4-BE49-F238E27FC236}">
              <a16:creationId xmlns:a16="http://schemas.microsoft.com/office/drawing/2014/main" id="{BD74E498-13B5-A1D1-AF9D-BB258C494FE6}"/>
            </a:ext>
          </a:extLst>
        </xdr:cNvPr>
        <xdr:cNvSpPr/>
      </xdr:nvSpPr>
      <xdr:spPr>
        <a:xfrm>
          <a:off x="7533279" y="2464788"/>
          <a:ext cx="4791321" cy="3418402"/>
        </a:xfrm>
        <a:prstGeom prst="roundRect">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340269</xdr:colOff>
      <xdr:row>1</xdr:row>
      <xdr:rowOff>36471</xdr:rowOff>
    </xdr:from>
    <xdr:to>
      <xdr:col>8</xdr:col>
      <xdr:colOff>489096</xdr:colOff>
      <xdr:row>5</xdr:row>
      <xdr:rowOff>59702</xdr:rowOff>
    </xdr:to>
    <xdr:sp macro="" textlink="">
      <xdr:nvSpPr>
        <xdr:cNvPr id="24" name="TextBox 23">
          <a:extLst>
            <a:ext uri="{FF2B5EF4-FFF2-40B4-BE49-F238E27FC236}">
              <a16:creationId xmlns:a16="http://schemas.microsoft.com/office/drawing/2014/main" id="{859412BB-F5E9-E4CB-6305-F632D2314D83}"/>
            </a:ext>
          </a:extLst>
        </xdr:cNvPr>
        <xdr:cNvSpPr txBox="1"/>
      </xdr:nvSpPr>
      <xdr:spPr>
        <a:xfrm>
          <a:off x="951874" y="226971"/>
          <a:ext cx="4430064" cy="785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i="1" u="none">
              <a:solidFill>
                <a:schemeClr val="tx1"/>
              </a:solidFill>
            </a:rPr>
            <a:t>Hospital Emergency Room</a:t>
          </a:r>
          <a:r>
            <a:rPr lang="en-IN" sz="1800" b="1" i="1" u="none" baseline="0">
              <a:solidFill>
                <a:schemeClr val="tx1"/>
              </a:solidFill>
            </a:rPr>
            <a:t> Dashboard</a:t>
          </a:r>
          <a:endParaRPr lang="en-IN" sz="1800" b="1" i="1" u="none">
            <a:solidFill>
              <a:schemeClr val="tx1"/>
            </a:solidFill>
          </a:endParaRPr>
        </a:p>
      </xdr:txBody>
    </xdr:sp>
    <xdr:clientData/>
  </xdr:twoCellAnchor>
  <xdr:twoCellAnchor editAs="oneCell">
    <xdr:from>
      <xdr:col>0</xdr:col>
      <xdr:colOff>133405</xdr:colOff>
      <xdr:row>0</xdr:row>
      <xdr:rowOff>100264</xdr:rowOff>
    </xdr:from>
    <xdr:to>
      <xdr:col>2</xdr:col>
      <xdr:colOff>40105</xdr:colOff>
      <xdr:row>4</xdr:row>
      <xdr:rowOff>110289</xdr:rowOff>
    </xdr:to>
    <xdr:pic>
      <xdr:nvPicPr>
        <xdr:cNvPr id="28" name="Picture 27">
          <a:extLst>
            <a:ext uri="{FF2B5EF4-FFF2-40B4-BE49-F238E27FC236}">
              <a16:creationId xmlns:a16="http://schemas.microsoft.com/office/drawing/2014/main" id="{59A7EBEF-483D-51A2-8500-806280A4F88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49" t="32457" r="-1700" b="-1"/>
        <a:stretch>
          <a:fillRect/>
        </a:stretch>
      </xdr:blipFill>
      <xdr:spPr>
        <a:xfrm>
          <a:off x="133405" y="100264"/>
          <a:ext cx="1129911" cy="772025"/>
        </a:xfrm>
        <a:prstGeom prst="rect">
          <a:avLst/>
        </a:prstGeom>
      </xdr:spPr>
    </xdr:pic>
    <xdr:clientData/>
  </xdr:twoCellAnchor>
  <xdr:twoCellAnchor editAs="absolute">
    <xdr:from>
      <xdr:col>1</xdr:col>
      <xdr:colOff>299357</xdr:colOff>
      <xdr:row>5</xdr:row>
      <xdr:rowOff>157360</xdr:rowOff>
    </xdr:from>
    <xdr:to>
      <xdr:col>5</xdr:col>
      <xdr:colOff>289331</xdr:colOff>
      <xdr:row>8</xdr:row>
      <xdr:rowOff>25781</xdr:rowOff>
    </xdr:to>
    <xdr:sp macro="" textlink="'Pivot Report'!A5">
      <xdr:nvSpPr>
        <xdr:cNvPr id="29" name="TextBox 28">
          <a:extLst>
            <a:ext uri="{FF2B5EF4-FFF2-40B4-BE49-F238E27FC236}">
              <a16:creationId xmlns:a16="http://schemas.microsoft.com/office/drawing/2014/main" id="{4B570687-2199-BE06-00C9-B1C060C53720}"/>
            </a:ext>
          </a:extLst>
        </xdr:cNvPr>
        <xdr:cNvSpPr txBox="1"/>
      </xdr:nvSpPr>
      <xdr:spPr>
        <a:xfrm>
          <a:off x="908098" y="1124183"/>
          <a:ext cx="2424936" cy="448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0D7CE8A-0DAB-4E2C-BCAC-A49F978C8A09}" type="TxLink">
            <a:rPr lang="en-US" sz="2400" b="0" i="0" u="none" strike="noStrike">
              <a:solidFill>
                <a:srgbClr val="000000"/>
              </a:solidFill>
              <a:latin typeface="Calibri"/>
              <a:cs typeface="Calibri"/>
            </a:rPr>
            <a:t>513</a:t>
          </a:fld>
          <a:endParaRPr lang="en-US" sz="2400" b="0" i="0" u="none"/>
        </a:p>
      </xdr:txBody>
    </xdr:sp>
    <xdr:clientData/>
  </xdr:twoCellAnchor>
  <xdr:twoCellAnchor editAs="absolute">
    <xdr:from>
      <xdr:col>1</xdr:col>
      <xdr:colOff>503323</xdr:colOff>
      <xdr:row>7</xdr:row>
      <xdr:rowOff>56733</xdr:rowOff>
    </xdr:from>
    <xdr:to>
      <xdr:col>5</xdr:col>
      <xdr:colOff>172456</xdr:colOff>
      <xdr:row>9</xdr:row>
      <xdr:rowOff>121384</xdr:rowOff>
    </xdr:to>
    <xdr:sp macro="" textlink="">
      <xdr:nvSpPr>
        <xdr:cNvPr id="30" name="TextBox 29">
          <a:extLst>
            <a:ext uri="{FF2B5EF4-FFF2-40B4-BE49-F238E27FC236}">
              <a16:creationId xmlns:a16="http://schemas.microsoft.com/office/drawing/2014/main" id="{639E5F1F-8B5E-73F4-2501-B932DB382077}"/>
            </a:ext>
          </a:extLst>
        </xdr:cNvPr>
        <xdr:cNvSpPr txBox="1"/>
      </xdr:nvSpPr>
      <xdr:spPr>
        <a:xfrm>
          <a:off x="1111458" y="1390233"/>
          <a:ext cx="2101671" cy="445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i="0" u="none">
              <a:solidFill>
                <a:schemeClr val="tx1"/>
              </a:solidFill>
            </a:rPr>
            <a:t>No. of Patients</a:t>
          </a:r>
        </a:p>
      </xdr:txBody>
    </xdr:sp>
    <xdr:clientData/>
  </xdr:twoCellAnchor>
  <xdr:twoCellAnchor editAs="absolute">
    <xdr:from>
      <xdr:col>3</xdr:col>
      <xdr:colOff>244642</xdr:colOff>
      <xdr:row>2</xdr:row>
      <xdr:rowOff>72566</xdr:rowOff>
    </xdr:from>
    <xdr:to>
      <xdr:col>6</xdr:col>
      <xdr:colOff>525380</xdr:colOff>
      <xdr:row>4</xdr:row>
      <xdr:rowOff>134352</xdr:rowOff>
    </xdr:to>
    <xdr:sp macro="" textlink="">
      <xdr:nvSpPr>
        <xdr:cNvPr id="31" name="TextBox 30">
          <a:extLst>
            <a:ext uri="{FF2B5EF4-FFF2-40B4-BE49-F238E27FC236}">
              <a16:creationId xmlns:a16="http://schemas.microsoft.com/office/drawing/2014/main" id="{9AFE04D8-9206-826B-E2CD-DB9EB238FB93}"/>
            </a:ext>
          </a:extLst>
        </xdr:cNvPr>
        <xdr:cNvSpPr txBox="1"/>
      </xdr:nvSpPr>
      <xdr:spPr>
        <a:xfrm>
          <a:off x="2079458" y="453566"/>
          <a:ext cx="2115554" cy="442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i="0" u="none">
              <a:solidFill>
                <a:schemeClr val="tx1"/>
              </a:solidFill>
            </a:rPr>
            <a:t>Monthly</a:t>
          </a:r>
          <a:r>
            <a:rPr lang="en-IN" sz="1600" b="0" i="0" u="none" baseline="0">
              <a:solidFill>
                <a:schemeClr val="tx1"/>
              </a:solidFill>
            </a:rPr>
            <a:t> Report</a:t>
          </a:r>
          <a:endParaRPr lang="en-IN" sz="1600" b="0" i="0" u="none">
            <a:solidFill>
              <a:schemeClr val="tx1"/>
            </a:solidFill>
          </a:endParaRPr>
        </a:p>
      </xdr:txBody>
    </xdr:sp>
    <xdr:clientData/>
  </xdr:twoCellAnchor>
  <xdr:twoCellAnchor editAs="absolute">
    <xdr:from>
      <xdr:col>4</xdr:col>
      <xdr:colOff>516801</xdr:colOff>
      <xdr:row>5</xdr:row>
      <xdr:rowOff>186096</xdr:rowOff>
    </xdr:from>
    <xdr:to>
      <xdr:col>8</xdr:col>
      <xdr:colOff>506775</xdr:colOff>
      <xdr:row>8</xdr:row>
      <xdr:rowOff>60784</xdr:rowOff>
    </xdr:to>
    <xdr:sp macro="" textlink="'Pivot Report'!A10">
      <xdr:nvSpPr>
        <xdr:cNvPr id="32" name="TextBox 31">
          <a:extLst>
            <a:ext uri="{FF2B5EF4-FFF2-40B4-BE49-F238E27FC236}">
              <a16:creationId xmlns:a16="http://schemas.microsoft.com/office/drawing/2014/main" id="{C4B81FD9-5CCC-1EC1-9AE7-92C6688ADE8A}"/>
            </a:ext>
          </a:extLst>
        </xdr:cNvPr>
        <xdr:cNvSpPr txBox="1"/>
      </xdr:nvSpPr>
      <xdr:spPr>
        <a:xfrm>
          <a:off x="2966087" y="1121587"/>
          <a:ext cx="2439259" cy="43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F93FE09-A130-485B-AA62-4D379092D030}" type="TxLink">
            <a:rPr lang="en-US" sz="2400" b="0" i="0" u="none" strike="noStrike">
              <a:solidFill>
                <a:srgbClr val="000000"/>
              </a:solidFill>
              <a:latin typeface="Calibri"/>
              <a:cs typeface="Calibri"/>
            </a:rPr>
            <a:t>36.32</a:t>
          </a:fld>
          <a:endParaRPr lang="en-US" sz="2400" b="0" i="0" u="none"/>
        </a:p>
      </xdr:txBody>
    </xdr:sp>
    <xdr:clientData/>
  </xdr:twoCellAnchor>
  <xdr:twoCellAnchor editAs="absolute">
    <xdr:from>
      <xdr:col>5</xdr:col>
      <xdr:colOff>185523</xdr:colOff>
      <xdr:row>7</xdr:row>
      <xdr:rowOff>101266</xdr:rowOff>
    </xdr:from>
    <xdr:to>
      <xdr:col>8</xdr:col>
      <xdr:colOff>283780</xdr:colOff>
      <xdr:row>9</xdr:row>
      <xdr:rowOff>167672</xdr:rowOff>
    </xdr:to>
    <xdr:sp macro="" textlink="">
      <xdr:nvSpPr>
        <xdr:cNvPr id="33" name="TextBox 32">
          <a:extLst>
            <a:ext uri="{FF2B5EF4-FFF2-40B4-BE49-F238E27FC236}">
              <a16:creationId xmlns:a16="http://schemas.microsoft.com/office/drawing/2014/main" id="{7E1373C9-5BE8-6669-2938-11244B74DAAD}"/>
            </a:ext>
          </a:extLst>
        </xdr:cNvPr>
        <xdr:cNvSpPr txBox="1"/>
      </xdr:nvSpPr>
      <xdr:spPr>
        <a:xfrm>
          <a:off x="3247130" y="1410954"/>
          <a:ext cx="1935221" cy="440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i="0" u="none">
              <a:solidFill>
                <a:schemeClr val="tx1"/>
              </a:solidFill>
            </a:rPr>
            <a:t>Average</a:t>
          </a:r>
          <a:r>
            <a:rPr lang="en-IN" sz="1800" b="1" i="0" u="none" baseline="0">
              <a:solidFill>
                <a:schemeClr val="tx1"/>
              </a:solidFill>
            </a:rPr>
            <a:t> Wait Time</a:t>
          </a:r>
          <a:endParaRPr lang="en-IN" sz="1800" b="1" i="0" u="none">
            <a:solidFill>
              <a:schemeClr val="tx1"/>
            </a:solidFill>
          </a:endParaRPr>
        </a:p>
      </xdr:txBody>
    </xdr:sp>
    <xdr:clientData/>
  </xdr:twoCellAnchor>
  <xdr:twoCellAnchor editAs="absolute">
    <xdr:from>
      <xdr:col>8</xdr:col>
      <xdr:colOff>220845</xdr:colOff>
      <xdr:row>6</xdr:row>
      <xdr:rowOff>33643</xdr:rowOff>
    </xdr:from>
    <xdr:to>
      <xdr:col>12</xdr:col>
      <xdr:colOff>210819</xdr:colOff>
      <xdr:row>8</xdr:row>
      <xdr:rowOff>95429</xdr:rowOff>
    </xdr:to>
    <xdr:sp macro="" textlink="'Pivot Report'!A15">
      <xdr:nvSpPr>
        <xdr:cNvPr id="34" name="TextBox 33">
          <a:extLst>
            <a:ext uri="{FF2B5EF4-FFF2-40B4-BE49-F238E27FC236}">
              <a16:creationId xmlns:a16="http://schemas.microsoft.com/office/drawing/2014/main" id="{4A8AF5F2-32D0-EFA7-233E-BE5F2879E747}"/>
            </a:ext>
          </a:extLst>
        </xdr:cNvPr>
        <xdr:cNvSpPr txBox="1"/>
      </xdr:nvSpPr>
      <xdr:spPr>
        <a:xfrm>
          <a:off x="5119416" y="1156232"/>
          <a:ext cx="2439260" cy="43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EE5B062-9F75-4C79-9B9F-27C3DD0D05A4}" type="TxLink">
            <a:rPr lang="en-US" sz="2400" b="0" i="0" u="none" strike="noStrike">
              <a:solidFill>
                <a:srgbClr val="000000"/>
              </a:solidFill>
              <a:latin typeface="Calibri"/>
              <a:cs typeface="Calibri"/>
            </a:rPr>
            <a:t>4.96</a:t>
          </a:fld>
          <a:endParaRPr lang="en-US" sz="2400" b="0" i="0" u="none" strike="noStrike">
            <a:solidFill>
              <a:srgbClr val="000000"/>
            </a:solidFill>
            <a:latin typeface="Calibri"/>
            <a:cs typeface="Calibri"/>
          </a:endParaRPr>
        </a:p>
      </xdr:txBody>
    </xdr:sp>
    <xdr:clientData/>
  </xdr:twoCellAnchor>
  <xdr:twoCellAnchor editAs="absolute">
    <xdr:from>
      <xdr:col>8</xdr:col>
      <xdr:colOff>379961</xdr:colOff>
      <xdr:row>6</xdr:row>
      <xdr:rowOff>158025</xdr:rowOff>
    </xdr:from>
    <xdr:to>
      <xdr:col>12</xdr:col>
      <xdr:colOff>49094</xdr:colOff>
      <xdr:row>10</xdr:row>
      <xdr:rowOff>90866</xdr:rowOff>
    </xdr:to>
    <xdr:sp macro="" textlink="">
      <xdr:nvSpPr>
        <xdr:cNvPr id="35" name="TextBox 34">
          <a:extLst>
            <a:ext uri="{FF2B5EF4-FFF2-40B4-BE49-F238E27FC236}">
              <a16:creationId xmlns:a16="http://schemas.microsoft.com/office/drawing/2014/main" id="{2FFB1997-4F8A-FFE9-71A2-DB04B06503B5}"/>
            </a:ext>
          </a:extLst>
        </xdr:cNvPr>
        <xdr:cNvSpPr txBox="1"/>
      </xdr:nvSpPr>
      <xdr:spPr>
        <a:xfrm>
          <a:off x="5278532" y="1280614"/>
          <a:ext cx="2118419" cy="68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i="0" u="none">
              <a:solidFill>
                <a:schemeClr val="tx1"/>
              </a:solidFill>
            </a:rPr>
            <a:t>Patient</a:t>
          </a:r>
          <a:r>
            <a:rPr lang="en-IN" sz="1400" b="1" i="0" u="none" baseline="0">
              <a:solidFill>
                <a:schemeClr val="tx1"/>
              </a:solidFill>
            </a:rPr>
            <a:t> Satisfaction Score</a:t>
          </a:r>
          <a:endParaRPr lang="en-IN" sz="1400" b="1" i="0" u="none">
            <a:solidFill>
              <a:schemeClr val="tx1"/>
            </a:solidFill>
          </a:endParaRPr>
        </a:p>
      </xdr:txBody>
    </xdr:sp>
    <xdr:clientData/>
  </xdr:twoCellAnchor>
  <xdr:twoCellAnchor editAs="oneCell">
    <xdr:from>
      <xdr:col>4</xdr:col>
      <xdr:colOff>123712</xdr:colOff>
      <xdr:row>5</xdr:row>
      <xdr:rowOff>50133</xdr:rowOff>
    </xdr:from>
    <xdr:to>
      <xdr:col>5</xdr:col>
      <xdr:colOff>170448</xdr:colOff>
      <xdr:row>8</xdr:row>
      <xdr:rowOff>70185</xdr:rowOff>
    </xdr:to>
    <xdr:pic>
      <xdr:nvPicPr>
        <xdr:cNvPr id="37" name="Graphic 36" descr="Male profile with solid fill">
          <a:extLst>
            <a:ext uri="{FF2B5EF4-FFF2-40B4-BE49-F238E27FC236}">
              <a16:creationId xmlns:a16="http://schemas.microsoft.com/office/drawing/2014/main" id="{9240AAEB-8F19-DF9F-762A-91BBA6A1FEF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70133" y="1002633"/>
          <a:ext cx="658341" cy="591552"/>
        </a:xfrm>
        <a:prstGeom prst="rect">
          <a:avLst/>
        </a:prstGeom>
      </xdr:spPr>
    </xdr:pic>
    <xdr:clientData/>
  </xdr:twoCellAnchor>
  <xdr:twoCellAnchor editAs="oneCell">
    <xdr:from>
      <xdr:col>11</xdr:col>
      <xdr:colOff>25512</xdr:colOff>
      <xdr:row>5</xdr:row>
      <xdr:rowOff>102052</xdr:rowOff>
    </xdr:from>
    <xdr:to>
      <xdr:col>11</xdr:col>
      <xdr:colOff>578302</xdr:colOff>
      <xdr:row>7</xdr:row>
      <xdr:rowOff>178592</xdr:rowOff>
    </xdr:to>
    <xdr:pic>
      <xdr:nvPicPr>
        <xdr:cNvPr id="39" name="Graphic 38" descr="Customer review with solid fill">
          <a:extLst>
            <a:ext uri="{FF2B5EF4-FFF2-40B4-BE49-F238E27FC236}">
              <a16:creationId xmlns:a16="http://schemas.microsoft.com/office/drawing/2014/main" id="{E40C1C9A-5652-E41B-2BD0-B7E91AAA2F24}"/>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l="-1" t="5194" r="10389" b="10389"/>
        <a:stretch>
          <a:fillRect/>
        </a:stretch>
      </xdr:blipFill>
      <xdr:spPr>
        <a:xfrm>
          <a:off x="6761048" y="1037543"/>
          <a:ext cx="552790" cy="450737"/>
        </a:xfrm>
        <a:prstGeom prst="rect">
          <a:avLst/>
        </a:prstGeom>
      </xdr:spPr>
    </xdr:pic>
    <xdr:clientData/>
  </xdr:twoCellAnchor>
  <xdr:twoCellAnchor editAs="oneCell">
    <xdr:from>
      <xdr:col>7</xdr:col>
      <xdr:colOff>340895</xdr:colOff>
      <xdr:row>5</xdr:row>
      <xdr:rowOff>100262</xdr:rowOff>
    </xdr:from>
    <xdr:to>
      <xdr:col>8</xdr:col>
      <xdr:colOff>350922</xdr:colOff>
      <xdr:row>8</xdr:row>
      <xdr:rowOff>72691</xdr:rowOff>
    </xdr:to>
    <xdr:pic>
      <xdr:nvPicPr>
        <xdr:cNvPr id="41" name="Graphic 40" descr="Stopwatch with solid fill">
          <a:extLst>
            <a:ext uri="{FF2B5EF4-FFF2-40B4-BE49-F238E27FC236}">
              <a16:creationId xmlns:a16="http://schemas.microsoft.com/office/drawing/2014/main" id="{C7D792BB-79FE-BF8A-689F-B68491121E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22132" y="1052762"/>
          <a:ext cx="621632" cy="543929"/>
        </a:xfrm>
        <a:prstGeom prst="rect">
          <a:avLst/>
        </a:prstGeom>
      </xdr:spPr>
    </xdr:pic>
    <xdr:clientData/>
  </xdr:twoCellAnchor>
  <xdr:twoCellAnchor>
    <xdr:from>
      <xdr:col>1</xdr:col>
      <xdr:colOff>47650</xdr:colOff>
      <xdr:row>7</xdr:row>
      <xdr:rowOff>1266</xdr:rowOff>
    </xdr:from>
    <xdr:to>
      <xdr:col>5</xdr:col>
      <xdr:colOff>143387</xdr:colOff>
      <xdr:row>11</xdr:row>
      <xdr:rowOff>184354</xdr:rowOff>
    </xdr:to>
    <xdr:graphicFrame macro="">
      <xdr:nvGraphicFramePr>
        <xdr:cNvPr id="46" name="Chart 45">
          <a:hlinkClick xmlns:r="http://schemas.openxmlformats.org/officeDocument/2006/relationships" r:id="rId8"/>
          <a:extLst>
            <a:ext uri="{FF2B5EF4-FFF2-40B4-BE49-F238E27FC236}">
              <a16:creationId xmlns:a16="http://schemas.microsoft.com/office/drawing/2014/main" id="{428F1528-E841-4E61-B8BE-9429A8AAF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150395</xdr:colOff>
      <xdr:row>6</xdr:row>
      <xdr:rowOff>30079</xdr:rowOff>
    </xdr:from>
    <xdr:to>
      <xdr:col>1</xdr:col>
      <xdr:colOff>501316</xdr:colOff>
      <xdr:row>24</xdr:row>
      <xdr:rowOff>143983</xdr:rowOff>
    </xdr:to>
    <mc:AlternateContent xmlns:mc="http://schemas.openxmlformats.org/markup-compatibility/2006">
      <mc:Choice xmlns:a14="http://schemas.microsoft.com/office/drawing/2010/main" Requires="a14">
        <xdr:graphicFrame macro="">
          <xdr:nvGraphicFramePr>
            <xdr:cNvPr id="42" name="Date (Month) 1">
              <a:extLst>
                <a:ext uri="{FF2B5EF4-FFF2-40B4-BE49-F238E27FC236}">
                  <a16:creationId xmlns:a16="http://schemas.microsoft.com/office/drawing/2014/main" id="{F8B975A2-20D9-41C7-807E-638CEE44736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50395" y="1141329"/>
              <a:ext cx="959463" cy="3447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212612</xdr:colOff>
      <xdr:row>7</xdr:row>
      <xdr:rowOff>119061</xdr:rowOff>
    </xdr:from>
    <xdr:to>
      <xdr:col>8</xdr:col>
      <xdr:colOff>422387</xdr:colOff>
      <xdr:row>12</xdr:row>
      <xdr:rowOff>6297</xdr:rowOff>
    </xdr:to>
    <xdr:graphicFrame macro="">
      <xdr:nvGraphicFramePr>
        <xdr:cNvPr id="47" name="Chart 46">
          <a:hlinkClick xmlns:r="http://schemas.openxmlformats.org/officeDocument/2006/relationships" r:id="rId10"/>
          <a:extLst>
            <a:ext uri="{FF2B5EF4-FFF2-40B4-BE49-F238E27FC236}">
              <a16:creationId xmlns:a16="http://schemas.microsoft.com/office/drawing/2014/main" id="{B85A5785-6FBE-4B33-9D78-71610AC83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348634</xdr:colOff>
      <xdr:row>7</xdr:row>
      <xdr:rowOff>22151</xdr:rowOff>
    </xdr:from>
    <xdr:to>
      <xdr:col>12</xdr:col>
      <xdr:colOff>161586</xdr:colOff>
      <xdr:row>12</xdr:row>
      <xdr:rowOff>127566</xdr:rowOff>
    </xdr:to>
    <xdr:graphicFrame macro="">
      <xdr:nvGraphicFramePr>
        <xdr:cNvPr id="48" name="Chart 47">
          <a:hlinkClick xmlns:r="http://schemas.openxmlformats.org/officeDocument/2006/relationships" r:id="rId12"/>
          <a:extLst>
            <a:ext uri="{FF2B5EF4-FFF2-40B4-BE49-F238E27FC236}">
              <a16:creationId xmlns:a16="http://schemas.microsoft.com/office/drawing/2014/main" id="{17D1A796-15EC-4BC3-AFC8-EBA927CF1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11077</xdr:colOff>
          <xdr:row>12</xdr:row>
          <xdr:rowOff>44302</xdr:rowOff>
        </xdr:from>
        <xdr:to>
          <xdr:col>12</xdr:col>
          <xdr:colOff>110757</xdr:colOff>
          <xdr:row>17</xdr:row>
          <xdr:rowOff>66454</xdr:rowOff>
        </xdr:to>
        <xdr:pic>
          <xdr:nvPicPr>
            <xdr:cNvPr id="52" name="Picture 51">
              <a:extLst>
                <a:ext uri="{FF2B5EF4-FFF2-40B4-BE49-F238E27FC236}">
                  <a16:creationId xmlns:a16="http://schemas.microsoft.com/office/drawing/2014/main" id="{CF96D523-8C92-2877-B7EC-9B90169402E0}"/>
                </a:ext>
              </a:extLst>
            </xdr:cNvPr>
            <xdr:cNvPicPr>
              <a:picLocks noChangeAspect="1" noChangeArrowheads="1"/>
              <a:extLst>
                <a:ext uri="{84589F7E-364E-4C9E-8A38-B11213B215E9}">
                  <a14:cameraTool cellRange="'Pivot Report'!$A$54:$D$56" spid="_x0000_s2068"/>
                </a:ext>
              </a:extLst>
            </xdr:cNvPicPr>
          </xdr:nvPicPr>
          <xdr:blipFill>
            <a:blip xmlns:r="http://schemas.openxmlformats.org/officeDocument/2006/relationships" r:embed="rId14"/>
            <a:srcRect/>
            <a:stretch>
              <a:fillRect/>
            </a:stretch>
          </xdr:blipFill>
          <xdr:spPr bwMode="auto">
            <a:xfrm>
              <a:off x="1229391" y="2303721"/>
              <a:ext cx="6191250" cy="9635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11076</xdr:colOff>
      <xdr:row>17</xdr:row>
      <xdr:rowOff>132906</xdr:rowOff>
    </xdr:from>
    <xdr:to>
      <xdr:col>12</xdr:col>
      <xdr:colOff>66453</xdr:colOff>
      <xdr:row>30</xdr:row>
      <xdr:rowOff>88603</xdr:rowOff>
    </xdr:to>
    <xdr:graphicFrame macro="">
      <xdr:nvGraphicFramePr>
        <xdr:cNvPr id="53" name="Chart 52">
          <a:extLst>
            <a:ext uri="{FF2B5EF4-FFF2-40B4-BE49-F238E27FC236}">
              <a16:creationId xmlns:a16="http://schemas.microsoft.com/office/drawing/2014/main" id="{2F7FCCAB-D2ED-4D28-8EB4-CD8447D75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26096</xdr:colOff>
      <xdr:row>0</xdr:row>
      <xdr:rowOff>1</xdr:rowOff>
    </xdr:from>
    <xdr:to>
      <xdr:col>16</xdr:col>
      <xdr:colOff>130479</xdr:colOff>
      <xdr:row>12</xdr:row>
      <xdr:rowOff>78289</xdr:rowOff>
    </xdr:to>
    <xdr:graphicFrame macro="">
      <xdr:nvGraphicFramePr>
        <xdr:cNvPr id="54" name="Chart 53">
          <a:extLst>
            <a:ext uri="{FF2B5EF4-FFF2-40B4-BE49-F238E27FC236}">
              <a16:creationId xmlns:a16="http://schemas.microsoft.com/office/drawing/2014/main" id="{FEFD0BF4-00EE-4E9B-82D0-DD647D60E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12</xdr:col>
      <xdr:colOff>443630</xdr:colOff>
      <xdr:row>10</xdr:row>
      <xdr:rowOff>117431</xdr:rowOff>
    </xdr:from>
    <xdr:ext cx="1878904" cy="311496"/>
    <xdr:sp macro="" textlink="">
      <xdr:nvSpPr>
        <xdr:cNvPr id="55" name="TextBox 54">
          <a:extLst>
            <a:ext uri="{FF2B5EF4-FFF2-40B4-BE49-F238E27FC236}">
              <a16:creationId xmlns:a16="http://schemas.microsoft.com/office/drawing/2014/main" id="{116C2F95-79F7-4B7E-ED53-0C3C227B00B2}"/>
            </a:ext>
          </a:extLst>
        </xdr:cNvPr>
        <xdr:cNvSpPr txBox="1"/>
      </xdr:nvSpPr>
      <xdr:spPr>
        <a:xfrm>
          <a:off x="7802671" y="2074623"/>
          <a:ext cx="187890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Patient</a:t>
          </a:r>
          <a:r>
            <a:rPr lang="en-IN" sz="1400" b="1" baseline="0"/>
            <a:t> Attend Status</a:t>
          </a:r>
          <a:endParaRPr lang="en-IN" sz="1400" b="1"/>
        </a:p>
      </xdr:txBody>
    </xdr:sp>
    <xdr:clientData/>
  </xdr:oneCellAnchor>
  <xdr:twoCellAnchor>
    <xdr:from>
      <xdr:col>15</xdr:col>
      <xdr:colOff>579889</xdr:colOff>
      <xdr:row>0</xdr:row>
      <xdr:rowOff>47625</xdr:rowOff>
    </xdr:from>
    <xdr:to>
      <xdr:col>22</xdr:col>
      <xdr:colOff>104384</xdr:colOff>
      <xdr:row>12</xdr:row>
      <xdr:rowOff>0</xdr:rowOff>
    </xdr:to>
    <xdr:graphicFrame macro="">
      <xdr:nvGraphicFramePr>
        <xdr:cNvPr id="56" name="Chart 55">
          <a:extLst>
            <a:ext uri="{FF2B5EF4-FFF2-40B4-BE49-F238E27FC236}">
              <a16:creationId xmlns:a16="http://schemas.microsoft.com/office/drawing/2014/main" id="{A3D95DC0-6581-4777-99D4-769234226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208767</xdr:colOff>
      <xdr:row>10</xdr:row>
      <xdr:rowOff>91336</xdr:rowOff>
    </xdr:from>
    <xdr:to>
      <xdr:col>19</xdr:col>
      <xdr:colOff>613252</xdr:colOff>
      <xdr:row>12</xdr:row>
      <xdr:rowOff>52193</xdr:rowOff>
    </xdr:to>
    <xdr:sp macro="" textlink="">
      <xdr:nvSpPr>
        <xdr:cNvPr id="60" name="TextBox 59">
          <a:extLst>
            <a:ext uri="{FF2B5EF4-FFF2-40B4-BE49-F238E27FC236}">
              <a16:creationId xmlns:a16="http://schemas.microsoft.com/office/drawing/2014/main" id="{09512681-F1E9-74F4-AC03-C51801FA0E68}"/>
            </a:ext>
          </a:extLst>
        </xdr:cNvPr>
        <xdr:cNvSpPr txBox="1"/>
      </xdr:nvSpPr>
      <xdr:spPr>
        <a:xfrm>
          <a:off x="10020822" y="2048528"/>
          <a:ext cx="2244245" cy="35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Gender wise Analysis</a:t>
          </a:r>
        </a:p>
      </xdr:txBody>
    </xdr:sp>
    <xdr:clientData/>
  </xdr:twoCellAnchor>
  <xdr:twoCellAnchor>
    <xdr:from>
      <xdr:col>12</xdr:col>
      <xdr:colOff>300103</xdr:colOff>
      <xdr:row>14</xdr:row>
      <xdr:rowOff>52193</xdr:rowOff>
    </xdr:from>
    <xdr:to>
      <xdr:col>20</xdr:col>
      <xdr:colOff>0</xdr:colOff>
      <xdr:row>27</xdr:row>
      <xdr:rowOff>13048</xdr:rowOff>
    </xdr:to>
    <xdr:graphicFrame macro="">
      <xdr:nvGraphicFramePr>
        <xdr:cNvPr id="61" name="Chart 60">
          <a:extLst>
            <a:ext uri="{FF2B5EF4-FFF2-40B4-BE49-F238E27FC236}">
              <a16:creationId xmlns:a16="http://schemas.microsoft.com/office/drawing/2014/main" id="{53B5D61E-CD73-4641-8E1B-575AAFF2A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13047</xdr:colOff>
      <xdr:row>27</xdr:row>
      <xdr:rowOff>52192</xdr:rowOff>
    </xdr:from>
    <xdr:to>
      <xdr:col>19</xdr:col>
      <xdr:colOff>39144</xdr:colOff>
      <xdr:row>29</xdr:row>
      <xdr:rowOff>65240</xdr:rowOff>
    </xdr:to>
    <xdr:sp macro="" textlink="">
      <xdr:nvSpPr>
        <xdr:cNvPr id="62" name="TextBox 61">
          <a:extLst>
            <a:ext uri="{FF2B5EF4-FFF2-40B4-BE49-F238E27FC236}">
              <a16:creationId xmlns:a16="http://schemas.microsoft.com/office/drawing/2014/main" id="{5B9CBEA2-69BA-AFB1-3696-C997BD753EC3}"/>
            </a:ext>
          </a:extLst>
        </xdr:cNvPr>
        <xdr:cNvSpPr txBox="1"/>
      </xdr:nvSpPr>
      <xdr:spPr>
        <a:xfrm>
          <a:off x="7985342" y="5336610"/>
          <a:ext cx="3705617" cy="404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No. of Patient by Departmental Referral</a:t>
          </a:r>
        </a:p>
      </xdr:txBody>
    </xdr:sp>
    <xdr:clientData/>
  </xdr:twoCellAnchor>
  <xdr:twoCellAnchor editAs="oneCell">
    <xdr:from>
      <xdr:col>8</xdr:col>
      <xdr:colOff>404485</xdr:colOff>
      <xdr:row>0</xdr:row>
      <xdr:rowOff>117836</xdr:rowOff>
    </xdr:from>
    <xdr:to>
      <xdr:col>11</xdr:col>
      <xdr:colOff>534965</xdr:colOff>
      <xdr:row>4</xdr:row>
      <xdr:rowOff>78556</xdr:rowOff>
    </xdr:to>
    <mc:AlternateContent xmlns:mc="http://schemas.openxmlformats.org/markup-compatibility/2006">
      <mc:Choice xmlns:a14="http://schemas.microsoft.com/office/drawing/2010/main" Requires="a14">
        <xdr:graphicFrame macro="">
          <xdr:nvGraphicFramePr>
            <xdr:cNvPr id="63" name="Date (Year) 1">
              <a:extLst>
                <a:ext uri="{FF2B5EF4-FFF2-40B4-BE49-F238E27FC236}">
                  <a16:creationId xmlns:a16="http://schemas.microsoft.com/office/drawing/2014/main" id="{70DE975A-75E7-4645-9E08-E4F310B233F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5272818" y="117836"/>
              <a:ext cx="1956105" cy="701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0.30818</cdr:x>
      <cdr:y>0.84452</cdr:y>
    </cdr:from>
    <cdr:to>
      <cdr:x>0.69616</cdr:x>
      <cdr:y>0.99066</cdr:y>
    </cdr:to>
    <cdr:sp macro="" textlink="">
      <cdr:nvSpPr>
        <cdr:cNvPr id="2" name="TextBox 1">
          <a:extLst xmlns:a="http://schemas.openxmlformats.org/drawingml/2006/main">
            <a:ext uri="{FF2B5EF4-FFF2-40B4-BE49-F238E27FC236}">
              <a16:creationId xmlns:a16="http://schemas.microsoft.com/office/drawing/2014/main" id="{A41E1D3B-04D5-9F8F-8B4E-991D6A94DCD8}"/>
            </a:ext>
          </a:extLst>
        </cdr:cNvPr>
        <cdr:cNvSpPr txBox="1"/>
      </cdr:nvSpPr>
      <cdr:spPr>
        <a:xfrm xmlns:a="http://schemas.openxmlformats.org/drawingml/2006/main">
          <a:off x="1906972" y="2111342"/>
          <a:ext cx="2400822" cy="36534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b="1" kern="1200"/>
            <a:t>No. of Patients by Age Group</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485774</xdr:colOff>
      <xdr:row>19</xdr:row>
      <xdr:rowOff>138906</xdr:rowOff>
    </xdr:to>
    <xdr:graphicFrame macro="">
      <xdr:nvGraphicFramePr>
        <xdr:cNvPr id="2" name="Chart 1">
          <a:extLst>
            <a:ext uri="{FF2B5EF4-FFF2-40B4-BE49-F238E27FC236}">
              <a16:creationId xmlns:a16="http://schemas.microsoft.com/office/drawing/2014/main" id="{8499FB62-2D7D-4F09-BC52-2B4B02C94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161924</xdr:rowOff>
    </xdr:from>
    <xdr:to>
      <xdr:col>22</xdr:col>
      <xdr:colOff>506016</xdr:colOff>
      <xdr:row>23</xdr:row>
      <xdr:rowOff>127000</xdr:rowOff>
    </xdr:to>
    <xdr:sp macro="" textlink="">
      <xdr:nvSpPr>
        <xdr:cNvPr id="3" name="TextBox 2">
          <a:extLst>
            <a:ext uri="{FF2B5EF4-FFF2-40B4-BE49-F238E27FC236}">
              <a16:creationId xmlns:a16="http://schemas.microsoft.com/office/drawing/2014/main" id="{9B06E0E0-47EA-7184-D3DA-8C314CAD3120}"/>
            </a:ext>
          </a:extLst>
        </xdr:cNvPr>
        <xdr:cNvSpPr txBox="1"/>
      </xdr:nvSpPr>
      <xdr:spPr>
        <a:xfrm>
          <a:off x="0" y="3781424"/>
          <a:ext cx="13917216" cy="72707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Showing a daily trend with an area sparkling</a:t>
          </a:r>
          <a:r>
            <a:rPr lang="en-IN" sz="2400" baseline="0"/>
            <a:t> to spot patterns like busy days or seasonal trends.</a:t>
          </a:r>
          <a:endParaRPr lang="en-IN" sz="24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0.02879</cdr:x>
      <cdr:y>0.80905</cdr:y>
    </cdr:from>
    <cdr:to>
      <cdr:x>0.97395</cdr:x>
      <cdr:y>1</cdr:y>
    </cdr:to>
    <cdr:sp macro="" textlink="">
      <cdr:nvSpPr>
        <cdr:cNvPr id="2" name="TextBox 1">
          <a:extLst xmlns:a="http://schemas.openxmlformats.org/drawingml/2006/main">
            <a:ext uri="{FF2B5EF4-FFF2-40B4-BE49-F238E27FC236}">
              <a16:creationId xmlns:a16="http://schemas.microsoft.com/office/drawing/2014/main" id="{04F2D544-217A-BFF5-4FF5-DE55FEFC212B}"/>
            </a:ext>
          </a:extLst>
        </cdr:cNvPr>
        <cdr:cNvSpPr txBox="1"/>
      </cdr:nvSpPr>
      <cdr:spPr>
        <a:xfrm xmlns:a="http://schemas.openxmlformats.org/drawingml/2006/main">
          <a:off x="400050" y="3629025"/>
          <a:ext cx="13134975" cy="723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0.02444</cdr:x>
      <cdr:y>0.064</cdr:y>
    </cdr:from>
    <cdr:to>
      <cdr:x>0.0834</cdr:x>
      <cdr:y>0.28267</cdr:y>
    </cdr:to>
    <cdr:pic>
      <cdr:nvPicPr>
        <cdr:cNvPr id="4"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50003D8-847B-55BA-8B5C-F872104A04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37344" y="238125"/>
          <a:ext cx="813594" cy="813594"/>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9524</xdr:colOff>
      <xdr:row>0</xdr:row>
      <xdr:rowOff>0</xdr:rowOff>
    </xdr:from>
    <xdr:to>
      <xdr:col>20</xdr:col>
      <xdr:colOff>125076</xdr:colOff>
      <xdr:row>20</xdr:row>
      <xdr:rowOff>114301</xdr:rowOff>
    </xdr:to>
    <xdr:graphicFrame macro="">
      <xdr:nvGraphicFramePr>
        <xdr:cNvPr id="2" name="Chart 1">
          <a:extLst>
            <a:ext uri="{FF2B5EF4-FFF2-40B4-BE49-F238E27FC236}">
              <a16:creationId xmlns:a16="http://schemas.microsoft.com/office/drawing/2014/main" id="{868F78EE-07E1-4A7B-B7CD-B5543A047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85725</xdr:rowOff>
    </xdr:from>
    <xdr:to>
      <xdr:col>20</xdr:col>
      <xdr:colOff>115455</xdr:colOff>
      <xdr:row>23</xdr:row>
      <xdr:rowOff>66675</xdr:rowOff>
    </xdr:to>
    <xdr:sp macro="" textlink="">
      <xdr:nvSpPr>
        <xdr:cNvPr id="3" name="TextBox 2">
          <a:extLst>
            <a:ext uri="{FF2B5EF4-FFF2-40B4-BE49-F238E27FC236}">
              <a16:creationId xmlns:a16="http://schemas.microsoft.com/office/drawing/2014/main" id="{42681B10-A44F-1359-857F-D0C2851B8CB3}"/>
            </a:ext>
          </a:extLst>
        </xdr:cNvPr>
        <xdr:cNvSpPr txBox="1"/>
      </xdr:nvSpPr>
      <xdr:spPr>
        <a:xfrm>
          <a:off x="0" y="3741786"/>
          <a:ext cx="12238182" cy="75064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Showing an area</a:t>
          </a:r>
          <a:r>
            <a:rPr lang="en-IN" sz="2000" baseline="0"/>
            <a:t> chart</a:t>
          </a:r>
          <a:r>
            <a:rPr lang="en-IN" sz="2000"/>
            <a:t> to track</a:t>
          </a:r>
          <a:r>
            <a:rPr lang="en-IN" sz="2000" baseline="0"/>
            <a:t> daily changes and highlight days with longer wait times that might need improvments.</a:t>
          </a:r>
          <a:endParaRPr lang="en-IN" sz="20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0.0238</cdr:x>
      <cdr:y>0.04438</cdr:y>
    </cdr:from>
    <cdr:to>
      <cdr:x>0.07746</cdr:x>
      <cdr:y>0.21123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5046E39-6662-9108-18EE-013A4E65281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91331" y="175878"/>
          <a:ext cx="656622" cy="661168"/>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24</xdr:row>
      <xdr:rowOff>50006</xdr:rowOff>
    </xdr:from>
    <xdr:to>
      <xdr:col>23</xdr:col>
      <xdr:colOff>309563</xdr:colOff>
      <xdr:row>28</xdr:row>
      <xdr:rowOff>30956</xdr:rowOff>
    </xdr:to>
    <xdr:sp macro="" textlink="">
      <xdr:nvSpPr>
        <xdr:cNvPr id="3" name="TextBox 2">
          <a:extLst>
            <a:ext uri="{FF2B5EF4-FFF2-40B4-BE49-F238E27FC236}">
              <a16:creationId xmlns:a16="http://schemas.microsoft.com/office/drawing/2014/main" id="{E8AFF1D9-9A2D-4FC8-A863-10FBF1DD95E5}"/>
            </a:ext>
          </a:extLst>
        </xdr:cNvPr>
        <xdr:cNvSpPr txBox="1"/>
      </xdr:nvSpPr>
      <xdr:spPr>
        <a:xfrm>
          <a:off x="0" y="4676435"/>
          <a:ext cx="14392956" cy="75202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400"/>
            <a:t>Showing an area</a:t>
          </a:r>
          <a:r>
            <a:rPr lang="en-IN" sz="2400" baseline="0"/>
            <a:t> chart</a:t>
          </a:r>
          <a:r>
            <a:rPr lang="en-IN" sz="2400"/>
            <a:t> to show</a:t>
          </a:r>
          <a:r>
            <a:rPr lang="en-IN" sz="2400" baseline="0"/>
            <a:t> trends, spot drops in satisfaction, and link to busy times or challenges.</a:t>
          </a:r>
          <a:endParaRPr lang="en-IN" sz="2400"/>
        </a:p>
      </xdr:txBody>
    </xdr:sp>
    <xdr:clientData/>
  </xdr:twoCellAnchor>
  <xdr:twoCellAnchor>
    <xdr:from>
      <xdr:col>0</xdr:col>
      <xdr:colOff>0</xdr:colOff>
      <xdr:row>0</xdr:row>
      <xdr:rowOff>0</xdr:rowOff>
    </xdr:from>
    <xdr:to>
      <xdr:col>23</xdr:col>
      <xdr:colOff>321469</xdr:colOff>
      <xdr:row>24</xdr:row>
      <xdr:rowOff>35719</xdr:rowOff>
    </xdr:to>
    <xdr:graphicFrame macro="">
      <xdr:nvGraphicFramePr>
        <xdr:cNvPr id="4" name="Chart 3">
          <a:extLst>
            <a:ext uri="{FF2B5EF4-FFF2-40B4-BE49-F238E27FC236}">
              <a16:creationId xmlns:a16="http://schemas.microsoft.com/office/drawing/2014/main" id="{8617C300-49D6-4A15-8EB7-FCB1883B0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0.03265</cdr:x>
      <cdr:y>0.0717</cdr:y>
    </cdr:from>
    <cdr:to>
      <cdr:x>0.08842</cdr:x>
      <cdr:y>0.24322</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06BD716-EB5A-DF7F-54E3-B01CCFBF8F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70353" y="334283"/>
          <a:ext cx="803355" cy="79964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2314814" createdVersion="5" refreshedVersion="8" minRefreshableVersion="3" recordCount="0" supportSubquery="1" supportAdvancedDrill="1" xr:uid="{37D9B1C7-C368-4BA5-BC8F-D40573436808}">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2662037" createdVersion="5" refreshedVersion="8" minRefreshableVersion="3" recordCount="0" supportSubquery="1" supportAdvancedDrill="1" xr:uid="{F5DAEC0A-AEF2-45E7-8393-EFF86D371BD4}">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2893521" createdVersion="5" refreshedVersion="8" minRefreshableVersion="3" recordCount="0" supportSubquery="1" supportAdvancedDrill="1" xr:uid="{EFCFE47D-7D52-48CD-BA43-2B8B93C40696}">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3124999" createdVersion="5" refreshedVersion="8" minRefreshableVersion="3" recordCount="0" supportSubquery="1" supportAdvancedDrill="1" xr:uid="{F39DA23B-A79E-450F-8AF4-AA8DFAE02CE0}">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3703707" createdVersion="5" refreshedVersion="8" minRefreshableVersion="3" recordCount="0" supportSubquery="1" supportAdvancedDrill="1" xr:uid="{7CED155E-C431-4736-BB4B-8377B3685326}">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4398146" createdVersion="5" refreshedVersion="8" minRefreshableVersion="3" recordCount="0" supportSubquery="1" supportAdvancedDrill="1" xr:uid="{18C3E8CF-D313-4F89-952D-DCACEB27898D}">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5208331" createdVersion="5" refreshedVersion="8" minRefreshableVersion="3" recordCount="0" supportSubquery="1" supportAdvancedDrill="1" xr:uid="{6B37D26F-AF01-4341-BD46-BE8DA807BECB}">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5787039" createdVersion="5" refreshedVersion="8" minRefreshableVersion="3" recordCount="0" supportSubquery="1" supportAdvancedDrill="1" xr:uid="{204084C9-14AF-4C37-B76A-E8E7F502B693}">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6365739" createdVersion="5" refreshedVersion="8" minRefreshableVersion="3" recordCount="0" supportSubquery="1" supportAdvancedDrill="1" xr:uid="{6EE996D1-08C8-4D28-8163-69B0B8018F8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6944447" createdVersion="5" refreshedVersion="8" minRefreshableVersion="3" recordCount="0" supportSubquery="1" supportAdvancedDrill="1" xr:uid="{DE1714C8-6BF7-4912-9E1D-B1393CF99AA9}">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7523148" createdVersion="5" refreshedVersion="8" minRefreshableVersion="3" recordCount="0" supportSubquery="1" supportAdvancedDrill="1" xr:uid="{FAC4FABE-0660-4FEA-8DFC-32662F0584D3}">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50308217594" createdVersion="5" refreshedVersion="8" minRefreshableVersion="3" recordCount="0" supportSubquery="1" supportAdvancedDrill="1" xr:uid="{29F3F55C-D98B-4D69-B4CA-60CB67D9E9C0}">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49950115741" createdVersion="3" refreshedVersion="8" minRefreshableVersion="3" recordCount="0" supportSubquery="1" supportAdvancedDrill="1" xr:uid="{3C8DE3C8-94AD-47F3-9260-AFE19421872C}">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275254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5CA455-ED9E-4BA5-B869-3FB0E2CF8F1F}" name="PivotTable12" cacheId="2104" applyNumberFormats="0" applyBorderFormats="0" applyFontFormats="0" applyPatternFormats="0" applyAlignmentFormats="0" applyWidthHeightFormats="1" dataCaption="Values" tag="d16f1998-e8b3-4329-a974-940212d277db" updatedVersion="8" minRefreshableVersion="3" subtotalHiddenItems="1" itemPrintTitles="1" createdVersion="5" indent="0" outline="1" outlineData="1" multipleFieldFilters="0" chartFormat="13">
  <location ref="D69:D71"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87">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BC602-7382-402E-A973-BB67499FFCDE}" name="PivotTable11" cacheId="2101" applyNumberFormats="0" applyBorderFormats="0" applyFontFormats="0" applyPatternFormats="0" applyAlignmentFormats="0" applyWidthHeightFormats="1" dataCaption="Values" tag="22c8344a-72b1-472c-bc8c-8ecb37cb0604" updatedVersion="8" minRefreshableVersion="3" subtotalHiddenItems="1" itemPrintTitles="1" createdVersion="5" indent="0" outline="1" outlineData="1" multipleFieldFilters="0" chartFormat="25">
  <location ref="I66:J7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316">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16B094-1471-479F-AA70-830604F03577}" name="PivotTable10" cacheId="2098" applyNumberFormats="0" applyBorderFormats="0" applyFontFormats="0" applyPatternFormats="0" applyAlignmentFormats="0" applyWidthHeightFormats="1" dataCaption="Values" tag="0b991706-7156-4495-a0d8-e2fbbd39cb7f" updatedVersion="8" minRefreshableVersion="3" subtotalHiddenItems="1" itemPrintTitles="1" createdVersion="5" indent="0" outline="1" outlineData="1" multipleFieldFilters="0" chartFormat="22">
  <location ref="I60:J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17">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20A286-9B2A-4BCC-B385-371582752517}" name="PivotTable9" cacheId="2095" applyNumberFormats="0" applyBorderFormats="0" applyFontFormats="0" applyPatternFormats="0" applyAlignmentFormats="0" applyWidthHeightFormats="1" dataCaption="Values" tag="f63996a6-803d-42ff-9c19-cccff496692c" updatedVersion="8" minRefreshableVersion="3" subtotalHiddenItems="1" itemPrintTitles="1" createdVersion="5" indent="0" outline="1" outlineData="1" multipleFieldFilters="0" chartFormat="13">
  <location ref="E60:F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18">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5359E9-CBEA-405A-AA53-9D4E70F23CC6}" name="PivotTable8" cacheId="2092" applyNumberFormats="0" applyBorderFormats="0" applyFontFormats="0" applyPatternFormats="0" applyAlignmentFormats="0" applyWidthHeightFormats="1" dataCaption="Values" tag="a1835859-0239-421c-843a-b9c49b37a014" updatedVersion="8" minRefreshableVersion="3" subtotalHiddenItems="1" itemPrintTitles="1" createdVersion="5" indent="0" outline="1" outlineData="1" multipleFieldFilters="0" chartFormat="7">
  <location ref="A60: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31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567DE-864E-41DE-8A06-606DC7895991}" name="PivotTable7" cacheId="2089" applyNumberFormats="0" applyBorderFormats="0" applyFontFormats="0" applyPatternFormats="0" applyAlignmentFormats="0" applyWidthHeightFormats="1" dataCaption="Values" tag="5dc9022f-41a1-44ad-acb3-2c6c9e712221" updatedVersion="8" minRefreshableVersion="3" subtotalHiddenItems="1" itemPrintTitles="1" createdVersion="5" indent="0" outline="1" outlineData="1" multipleFieldFilters="0" chartFormat="4">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2" baseItem="0" numFmtId="10">
      <extLst>
        <ext xmlns:x14="http://schemas.microsoft.com/office/spreadsheetml/2009/9/main" uri="{E15A36E0-9728-4e99-A89B-3F7291B0FE68}">
          <x14:dataField sourceField="1" uniqueName="[__Xl2].[Measures].[Count of Patient Admission Flag]"/>
        </ext>
      </extLst>
    </dataField>
  </dataFields>
  <formats count="2">
    <format dxfId="320">
      <pivotArea outline="0" collapsedLevelsAreSubtotals="1" fieldPosition="0"/>
    </format>
    <format dxfId="321">
      <pivotArea outline="0" fieldPosition="0">
        <references count="1">
          <reference field="4294967294" count="1">
            <x v="1"/>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1"/>
          </reference>
          <reference field="2" count="1" selected="0">
            <x v="1"/>
          </reference>
        </references>
      </pivotArea>
    </chartFormat>
    <chartFormat chart="3" format="5">
      <pivotArea type="data" outline="0" fieldPosition="0">
        <references count="2">
          <reference field="4294967294" count="1" selected="0">
            <x v="1"/>
          </reference>
          <reference field="2"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C16DFD-5B0C-4743-9C8D-84189E5E3B13}" name="PivotTable6" cacheId="2086" applyNumberFormats="0" applyBorderFormats="0" applyFontFormats="0" applyPatternFormats="0" applyAlignmentFormats="0" applyWidthHeightFormats="1" dataCaption="Values" tag="32333609-b1dd-40a2-af03-23e1477591f9" updatedVersion="8" minRefreshableVersion="3" subtotalHiddenItems="1" itemPrintTitles="1" createdVersion="5" indent="0" outline="1" outlineData="1" multipleFieldFilters="0" chartFormat="42">
  <location ref="M5:N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322">
      <pivotArea collapsedLevelsAreSubtotals="1" fieldPosition="0">
        <references count="1">
          <reference field="0" count="0"/>
        </references>
      </pivotArea>
    </format>
  </formats>
  <chartFormats count="2">
    <chartFormat chart="31" format="2"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8DFDD8-E199-468C-A775-8A89811D619E}" name="PivotTable5" cacheId="2083" applyNumberFormats="0" applyBorderFormats="0" applyFontFormats="0" applyPatternFormats="0" applyAlignmentFormats="0" applyWidthHeightFormats="1" dataCaption="Values" tag="700af1d4-395b-4905-8067-221d8960a25f" updatedVersion="8" minRefreshableVersion="3" subtotalHiddenItems="1" itemPrintTitles="1" createdVersion="5" indent="0" outline="1" outlineData="1" multipleFieldFilters="0" chartFormat="33">
  <location ref="I5:J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323">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343A01-5D80-4220-84B1-D402CA389989}" name="PivotTable4" cacheId="2071" applyNumberFormats="0" applyBorderFormats="0" applyFontFormats="0" applyPatternFormats="0" applyAlignmentFormats="0" applyWidthHeightFormats="1" dataCaption="Values" tag="7ee10833-c695-4980-83b9-b9f04875adbf" updatedVersion="8" minRefreshableVersion="3" subtotalHiddenItems="1" itemPrintTitles="1" createdVersion="5" indent="0" outline="1" outlineData="1" multipleFieldFilters="0" chartFormat="22">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A3A25C-70AA-4F42-9F9F-CC0B0892F9C1}" name="PivotTable3" cacheId="2080" applyNumberFormats="0" applyBorderFormats="0" applyFontFormats="0" applyPatternFormats="0" applyAlignmentFormats="0" applyWidthHeightFormats="1" dataCaption="Values" tag="1ee8708c-f5d2-422a-95f2-190d5af29505" updatedVersion="8" minRefreshableVersion="3"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26">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80727F-1AFE-4313-9248-13B25E5FB2D6}" name="PivotTable2" cacheId="2077" applyNumberFormats="0" applyBorderFormats="0" applyFontFormats="0" applyPatternFormats="0" applyAlignmentFormats="0" applyWidthHeightFormats="1" dataCaption="Values" tag="aa09b6ab-225f-4024-977d-5daab8f799e2"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27">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F4E761-B950-4F99-8237-1EF659CAD4A5}" name="PivotTable1" cacheId="2074" applyNumberFormats="0" applyBorderFormats="0" applyFontFormats="0" applyPatternFormats="0" applyAlignmentFormats="0" applyWidthHeightFormats="1" dataCaption="Values" tag="efe0996c-dfed-40cd-9453-284ce565b3ce"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BD367F2-5DF4-4CC6-AAFF-5A47DA5DC868}"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52752544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FB75E82-9628-4CC6-A8C9-5644032BCA70}"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2752544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E430FE1-5EB9-4E4F-B92A-A4846C545C2C}" cache="Slicer_Date__Month" caption="Date (Month)" showCaption="0" level="1" style="my style" rowHeight="241300"/>
  <slicer name="Date (Year) 1" xr10:uid="{BD32F4F0-5049-4E39-93B5-7A09CA74054E}" cache="Slicer_Date__Year" caption="Date (Year)"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9C27-7F73-410F-980E-D3F047F6767E}">
  <dimension ref="A3:N75"/>
  <sheetViews>
    <sheetView zoomScale="83" workbookViewId="0">
      <selection activeCell="A8" sqref="A8"/>
    </sheetView>
  </sheetViews>
  <sheetFormatPr defaultRowHeight="15" x14ac:dyDescent="0.25"/>
  <cols>
    <col min="1" max="1" width="15.85546875" customWidth="1"/>
    <col min="2" max="2" width="19" customWidth="1"/>
    <col min="3" max="3" width="9" customWidth="1"/>
    <col min="4" max="4" width="20.7109375" customWidth="1"/>
    <col min="5" max="5" width="15.85546875" customWidth="1"/>
    <col min="6" max="6" width="19.28515625" customWidth="1"/>
    <col min="9" max="9" width="17.5703125" bestFit="1" customWidth="1"/>
    <col min="10" max="10" width="25.140625" bestFit="1" customWidth="1"/>
    <col min="14" max="14" width="26.85546875" bestFit="1" customWidth="1"/>
  </cols>
  <sheetData>
    <row r="3" spans="1:14" x14ac:dyDescent="0.25">
      <c r="A3" t="s">
        <v>1</v>
      </c>
      <c r="E3" t="s">
        <v>38</v>
      </c>
    </row>
    <row r="4" spans="1:14" x14ac:dyDescent="0.25">
      <c r="A4" t="s">
        <v>0</v>
      </c>
      <c r="E4" s="2" t="s">
        <v>4</v>
      </c>
      <c r="F4" t="s">
        <v>0</v>
      </c>
      <c r="I4" t="s">
        <v>39</v>
      </c>
      <c r="M4" t="s">
        <v>40</v>
      </c>
    </row>
    <row r="5" spans="1:14" x14ac:dyDescent="0.25">
      <c r="A5" s="1">
        <v>513</v>
      </c>
      <c r="E5" s="5" t="s">
        <v>7</v>
      </c>
      <c r="F5" s="1">
        <v>19</v>
      </c>
      <c r="I5" s="2" t="s">
        <v>4</v>
      </c>
      <c r="J5" t="s">
        <v>2</v>
      </c>
      <c r="M5" s="2" t="s">
        <v>4</v>
      </c>
      <c r="N5" t="s">
        <v>3</v>
      </c>
    </row>
    <row r="6" spans="1:14" x14ac:dyDescent="0.25">
      <c r="E6" s="5" t="s">
        <v>8</v>
      </c>
      <c r="F6" s="1">
        <v>14</v>
      </c>
      <c r="I6" s="5" t="s">
        <v>7</v>
      </c>
      <c r="J6" s="3">
        <v>37.789473684210527</v>
      </c>
      <c r="M6" s="5" t="s">
        <v>7</v>
      </c>
      <c r="N6" s="3">
        <v>6.666666666666667</v>
      </c>
    </row>
    <row r="7" spans="1:14" x14ac:dyDescent="0.25">
      <c r="E7" s="5" t="s">
        <v>9</v>
      </c>
      <c r="F7" s="1">
        <v>13</v>
      </c>
      <c r="I7" s="5" t="s">
        <v>8</v>
      </c>
      <c r="J7" s="3">
        <v>38.214285714285715</v>
      </c>
      <c r="M7" s="5" t="s">
        <v>8</v>
      </c>
      <c r="N7" s="3">
        <v>3.5</v>
      </c>
    </row>
    <row r="8" spans="1:14" x14ac:dyDescent="0.25">
      <c r="E8" s="5" t="s">
        <v>10</v>
      </c>
      <c r="F8" s="1">
        <v>22</v>
      </c>
      <c r="I8" s="5" t="s">
        <v>9</v>
      </c>
      <c r="J8" s="3">
        <v>40.92307692307692</v>
      </c>
      <c r="M8" s="5" t="s">
        <v>9</v>
      </c>
      <c r="N8" s="3">
        <v>4.5</v>
      </c>
    </row>
    <row r="9" spans="1:14" x14ac:dyDescent="0.25">
      <c r="A9" t="s">
        <v>2</v>
      </c>
      <c r="E9" s="5" t="s">
        <v>11</v>
      </c>
      <c r="F9" s="1">
        <v>19</v>
      </c>
      <c r="I9" s="5" t="s">
        <v>10</v>
      </c>
      <c r="J9" s="3">
        <v>34.5</v>
      </c>
      <c r="M9" s="5" t="s">
        <v>10</v>
      </c>
      <c r="N9" s="3">
        <v>4.8</v>
      </c>
    </row>
    <row r="10" spans="1:14" x14ac:dyDescent="0.25">
      <c r="A10" s="3">
        <v>36.323586744639378</v>
      </c>
      <c r="E10" s="5" t="s">
        <v>12</v>
      </c>
      <c r="F10" s="1">
        <v>15</v>
      </c>
      <c r="I10" s="5" t="s">
        <v>11</v>
      </c>
      <c r="J10" s="3">
        <v>30.684210526315791</v>
      </c>
      <c r="M10" s="5" t="s">
        <v>11</v>
      </c>
      <c r="N10" s="3">
        <v>7.75</v>
      </c>
    </row>
    <row r="11" spans="1:14" x14ac:dyDescent="0.25">
      <c r="E11" s="5" t="s">
        <v>13</v>
      </c>
      <c r="F11" s="1">
        <v>12</v>
      </c>
      <c r="I11" s="5" t="s">
        <v>12</v>
      </c>
      <c r="J11" s="3">
        <v>37.666666666666664</v>
      </c>
      <c r="M11" s="5" t="s">
        <v>12</v>
      </c>
      <c r="N11" s="3">
        <v>6.2</v>
      </c>
    </row>
    <row r="12" spans="1:14" x14ac:dyDescent="0.25">
      <c r="E12" s="5" t="s">
        <v>14</v>
      </c>
      <c r="F12" s="1">
        <v>21</v>
      </c>
      <c r="I12" s="5" t="s">
        <v>13</v>
      </c>
      <c r="J12" s="3">
        <v>36.083333333333336</v>
      </c>
      <c r="M12" s="5" t="s">
        <v>13</v>
      </c>
      <c r="N12" s="3">
        <v>3.75</v>
      </c>
    </row>
    <row r="13" spans="1:14" x14ac:dyDescent="0.25">
      <c r="E13" s="5" t="s">
        <v>15</v>
      </c>
      <c r="F13" s="1">
        <v>12</v>
      </c>
      <c r="I13" s="5" t="s">
        <v>14</v>
      </c>
      <c r="J13" s="3">
        <v>43.523809523809526</v>
      </c>
      <c r="M13" s="5" t="s">
        <v>14</v>
      </c>
      <c r="N13" s="3">
        <v>6.5</v>
      </c>
    </row>
    <row r="14" spans="1:14" x14ac:dyDescent="0.25">
      <c r="A14" t="s">
        <v>3</v>
      </c>
      <c r="E14" s="5" t="s">
        <v>16</v>
      </c>
      <c r="F14" s="1">
        <v>13</v>
      </c>
      <c r="I14" s="5" t="s">
        <v>15</v>
      </c>
      <c r="J14" s="3">
        <v>29.5</v>
      </c>
      <c r="M14" s="5" t="s">
        <v>15</v>
      </c>
      <c r="N14" s="3">
        <v>3</v>
      </c>
    </row>
    <row r="15" spans="1:14" x14ac:dyDescent="0.25">
      <c r="A15" s="3">
        <v>4.9591836734693882</v>
      </c>
      <c r="E15" s="5" t="s">
        <v>17</v>
      </c>
      <c r="F15" s="1">
        <v>13</v>
      </c>
      <c r="I15" s="5" t="s">
        <v>16</v>
      </c>
      <c r="J15" s="3">
        <v>38.07692307692308</v>
      </c>
      <c r="M15" s="5" t="s">
        <v>16</v>
      </c>
      <c r="N15" s="3">
        <v>4.5</v>
      </c>
    </row>
    <row r="16" spans="1:14" x14ac:dyDescent="0.25">
      <c r="E16" s="5" t="s">
        <v>18</v>
      </c>
      <c r="F16" s="1">
        <v>16</v>
      </c>
      <c r="I16" s="5" t="s">
        <v>17</v>
      </c>
      <c r="J16" s="3">
        <v>35.846153846153847</v>
      </c>
      <c r="M16" s="5" t="s">
        <v>17</v>
      </c>
      <c r="N16" s="3">
        <v>6</v>
      </c>
    </row>
    <row r="17" spans="5:14" x14ac:dyDescent="0.25">
      <c r="E17" s="5" t="s">
        <v>19</v>
      </c>
      <c r="F17" s="1">
        <v>20</v>
      </c>
      <c r="I17" s="5" t="s">
        <v>18</v>
      </c>
      <c r="J17" s="3">
        <v>32.625</v>
      </c>
      <c r="M17" s="5" t="s">
        <v>18</v>
      </c>
      <c r="N17" s="3">
        <v>5.2</v>
      </c>
    </row>
    <row r="18" spans="5:14" x14ac:dyDescent="0.25">
      <c r="E18" s="5" t="s">
        <v>20</v>
      </c>
      <c r="F18" s="1">
        <v>25</v>
      </c>
      <c r="I18" s="5" t="s">
        <v>19</v>
      </c>
      <c r="J18" s="3">
        <v>39.200000000000003</v>
      </c>
      <c r="M18" s="5" t="s">
        <v>19</v>
      </c>
      <c r="N18" s="3">
        <v>4.4000000000000004</v>
      </c>
    </row>
    <row r="19" spans="5:14" x14ac:dyDescent="0.25">
      <c r="E19" s="5" t="s">
        <v>21</v>
      </c>
      <c r="F19" s="1">
        <v>20</v>
      </c>
      <c r="I19" s="5" t="s">
        <v>20</v>
      </c>
      <c r="J19" s="3">
        <v>35.28</v>
      </c>
      <c r="M19" s="5" t="s">
        <v>20</v>
      </c>
      <c r="N19" s="3">
        <v>3.4545454545454546</v>
      </c>
    </row>
    <row r="20" spans="5:14" x14ac:dyDescent="0.25">
      <c r="E20" s="5" t="s">
        <v>22</v>
      </c>
      <c r="F20" s="1">
        <v>14</v>
      </c>
      <c r="I20" s="5" t="s">
        <v>21</v>
      </c>
      <c r="J20" s="3">
        <v>32.549999999999997</v>
      </c>
      <c r="M20" s="5" t="s">
        <v>21</v>
      </c>
      <c r="N20" s="3">
        <v>4.4000000000000004</v>
      </c>
    </row>
    <row r="21" spans="5:14" x14ac:dyDescent="0.25">
      <c r="E21" s="5" t="s">
        <v>23</v>
      </c>
      <c r="F21" s="1">
        <v>17</v>
      </c>
      <c r="I21" s="5" t="s">
        <v>22</v>
      </c>
      <c r="J21" s="3">
        <v>35.642857142857146</v>
      </c>
      <c r="M21" s="5" t="s">
        <v>22</v>
      </c>
      <c r="N21" s="3">
        <v>5.833333333333333</v>
      </c>
    </row>
    <row r="22" spans="5:14" x14ac:dyDescent="0.25">
      <c r="E22" s="5" t="s">
        <v>24</v>
      </c>
      <c r="F22" s="1">
        <v>20</v>
      </c>
      <c r="I22" s="5" t="s">
        <v>23</v>
      </c>
      <c r="J22" s="3">
        <v>38.764705882352942</v>
      </c>
      <c r="M22" s="5" t="s">
        <v>23</v>
      </c>
      <c r="N22" s="3">
        <v>4.4444444444444446</v>
      </c>
    </row>
    <row r="23" spans="5:14" x14ac:dyDescent="0.25">
      <c r="E23" s="5" t="s">
        <v>25</v>
      </c>
      <c r="F23" s="1">
        <v>10</v>
      </c>
      <c r="I23" s="5" t="s">
        <v>24</v>
      </c>
      <c r="J23" s="3">
        <v>39.9</v>
      </c>
      <c r="M23" s="5" t="s">
        <v>24</v>
      </c>
      <c r="N23" s="3">
        <v>5.333333333333333</v>
      </c>
    </row>
    <row r="24" spans="5:14" x14ac:dyDescent="0.25">
      <c r="E24" s="5" t="s">
        <v>26</v>
      </c>
      <c r="F24" s="1">
        <v>17</v>
      </c>
      <c r="I24" s="5" t="s">
        <v>25</v>
      </c>
      <c r="J24" s="3">
        <v>41.6</v>
      </c>
      <c r="M24" s="5" t="s">
        <v>25</v>
      </c>
      <c r="N24" s="3">
        <v>5.333333333333333</v>
      </c>
    </row>
    <row r="25" spans="5:14" x14ac:dyDescent="0.25">
      <c r="E25" s="5" t="s">
        <v>27</v>
      </c>
      <c r="F25" s="1">
        <v>15</v>
      </c>
      <c r="I25" s="5" t="s">
        <v>26</v>
      </c>
      <c r="J25" s="3">
        <v>39.470588235294116</v>
      </c>
      <c r="M25" s="5" t="s">
        <v>26</v>
      </c>
      <c r="N25" s="3">
        <v>5.5714285714285712</v>
      </c>
    </row>
    <row r="26" spans="5:14" x14ac:dyDescent="0.25">
      <c r="E26" s="5" t="s">
        <v>28</v>
      </c>
      <c r="F26" s="1">
        <v>16</v>
      </c>
      <c r="I26" s="5" t="s">
        <v>27</v>
      </c>
      <c r="J26" s="3">
        <v>27.733333333333334</v>
      </c>
      <c r="M26" s="5" t="s">
        <v>27</v>
      </c>
      <c r="N26" s="3">
        <v>5</v>
      </c>
    </row>
    <row r="27" spans="5:14" x14ac:dyDescent="0.25">
      <c r="E27" s="5" t="s">
        <v>29</v>
      </c>
      <c r="F27" s="1">
        <v>18</v>
      </c>
      <c r="I27" s="5" t="s">
        <v>28</v>
      </c>
      <c r="J27" s="3">
        <v>36.875</v>
      </c>
      <c r="M27" s="5" t="s">
        <v>28</v>
      </c>
      <c r="N27" s="3">
        <v>6.4</v>
      </c>
    </row>
    <row r="28" spans="5:14" x14ac:dyDescent="0.25">
      <c r="E28" s="5" t="s">
        <v>30</v>
      </c>
      <c r="F28" s="1">
        <v>16</v>
      </c>
      <c r="I28" s="5" t="s">
        <v>29</v>
      </c>
      <c r="J28" s="3">
        <v>40.333333333333336</v>
      </c>
      <c r="M28" s="5" t="s">
        <v>29</v>
      </c>
      <c r="N28" s="3">
        <v>5.333333333333333</v>
      </c>
    </row>
    <row r="29" spans="5:14" x14ac:dyDescent="0.25">
      <c r="E29" s="5" t="s">
        <v>31</v>
      </c>
      <c r="F29" s="1">
        <v>15</v>
      </c>
      <c r="I29" s="5" t="s">
        <v>30</v>
      </c>
      <c r="J29" s="3">
        <v>36.5</v>
      </c>
      <c r="M29" s="5" t="s">
        <v>30</v>
      </c>
      <c r="N29" s="3">
        <v>3.75</v>
      </c>
    </row>
    <row r="30" spans="5:14" x14ac:dyDescent="0.25">
      <c r="E30" s="5" t="s">
        <v>32</v>
      </c>
      <c r="F30" s="1">
        <v>14</v>
      </c>
      <c r="I30" s="5" t="s">
        <v>31</v>
      </c>
      <c r="J30" s="3">
        <v>32.866666666666667</v>
      </c>
      <c r="M30" s="5" t="s">
        <v>31</v>
      </c>
      <c r="N30" s="3">
        <v>6.333333333333333</v>
      </c>
    </row>
    <row r="31" spans="5:14" x14ac:dyDescent="0.25">
      <c r="E31" s="5" t="s">
        <v>33</v>
      </c>
      <c r="F31" s="1">
        <v>16</v>
      </c>
      <c r="I31" s="5" t="s">
        <v>32</v>
      </c>
      <c r="J31" s="3">
        <v>36.642857142857146</v>
      </c>
      <c r="M31" s="5" t="s">
        <v>32</v>
      </c>
      <c r="N31" s="3">
        <v>10</v>
      </c>
    </row>
    <row r="32" spans="5:14" x14ac:dyDescent="0.25">
      <c r="E32" s="5" t="s">
        <v>34</v>
      </c>
      <c r="F32" s="1">
        <v>20</v>
      </c>
      <c r="I32" s="5" t="s">
        <v>33</v>
      </c>
      <c r="J32" s="3">
        <v>36.5625</v>
      </c>
      <c r="M32" s="5" t="s">
        <v>33</v>
      </c>
      <c r="N32" s="3">
        <v>5</v>
      </c>
    </row>
    <row r="33" spans="1:14" x14ac:dyDescent="0.25">
      <c r="E33" s="5" t="s">
        <v>35</v>
      </c>
      <c r="F33" s="1">
        <v>19</v>
      </c>
      <c r="I33" s="5" t="s">
        <v>34</v>
      </c>
      <c r="J33" s="3">
        <v>32.15</v>
      </c>
      <c r="M33" s="5" t="s">
        <v>34</v>
      </c>
      <c r="N33" s="3">
        <v>5.333333333333333</v>
      </c>
    </row>
    <row r="34" spans="1:14" x14ac:dyDescent="0.25">
      <c r="E34" s="5" t="s">
        <v>36</v>
      </c>
      <c r="F34" s="1">
        <v>14</v>
      </c>
      <c r="I34" s="5" t="s">
        <v>35</v>
      </c>
      <c r="J34" s="3">
        <v>38.368421052631582</v>
      </c>
      <c r="M34" s="5" t="s">
        <v>35</v>
      </c>
      <c r="N34" s="3">
        <v>4.8</v>
      </c>
    </row>
    <row r="35" spans="1:14" x14ac:dyDescent="0.25">
      <c r="E35" s="5" t="s">
        <v>37</v>
      </c>
      <c r="F35" s="1">
        <v>18</v>
      </c>
      <c r="I35" s="5" t="s">
        <v>36</v>
      </c>
      <c r="J35" s="3">
        <v>33.071428571428569</v>
      </c>
      <c r="M35" s="5" t="s">
        <v>36</v>
      </c>
      <c r="N35" s="3">
        <v>5</v>
      </c>
    </row>
    <row r="36" spans="1:14" x14ac:dyDescent="0.25">
      <c r="E36" s="5" t="s">
        <v>5</v>
      </c>
      <c r="F36" s="1">
        <v>513</v>
      </c>
      <c r="I36" s="5" t="s">
        <v>37</v>
      </c>
      <c r="J36" s="3">
        <v>36.444444444444443</v>
      </c>
      <c r="M36" s="5" t="s">
        <v>37</v>
      </c>
      <c r="N36" s="3">
        <v>1.4</v>
      </c>
    </row>
    <row r="37" spans="1:14" x14ac:dyDescent="0.25">
      <c r="I37" s="5" t="s">
        <v>5</v>
      </c>
      <c r="J37" s="1">
        <v>36.323586744639378</v>
      </c>
      <c r="M37" s="5" t="s">
        <v>5</v>
      </c>
      <c r="N37" s="1">
        <v>4.9591836734693882</v>
      </c>
    </row>
    <row r="44" spans="1:14" x14ac:dyDescent="0.25">
      <c r="A44" s="2" t="s">
        <v>4</v>
      </c>
      <c r="B44" t="s">
        <v>57</v>
      </c>
      <c r="C44" t="s">
        <v>58</v>
      </c>
    </row>
    <row r="45" spans="1:14" x14ac:dyDescent="0.25">
      <c r="A45" s="5" t="s">
        <v>43</v>
      </c>
      <c r="B45" s="3">
        <v>269</v>
      </c>
      <c r="C45" s="8">
        <v>0.52436647173489281</v>
      </c>
    </row>
    <row r="46" spans="1:14" x14ac:dyDescent="0.25">
      <c r="A46" s="5" t="s">
        <v>51</v>
      </c>
      <c r="B46" s="3">
        <v>244</v>
      </c>
      <c r="C46" s="8">
        <v>0.47563352826510719</v>
      </c>
    </row>
    <row r="47" spans="1:14" x14ac:dyDescent="0.25">
      <c r="A47" s="5" t="s">
        <v>5</v>
      </c>
      <c r="B47" s="3">
        <v>513</v>
      </c>
      <c r="C47" s="8">
        <v>1</v>
      </c>
    </row>
    <row r="54" spans="1:10" x14ac:dyDescent="0.25">
      <c r="A54" s="12" t="s">
        <v>59</v>
      </c>
      <c r="B54" s="12" t="s">
        <v>1</v>
      </c>
      <c r="C54" s="12" t="s">
        <v>60</v>
      </c>
      <c r="D54" s="12" t="s">
        <v>61</v>
      </c>
    </row>
    <row r="55" spans="1:10" x14ac:dyDescent="0.25">
      <c r="A55" s="10" t="str">
        <f>A46</f>
        <v>Not Admitted</v>
      </c>
      <c r="B55" s="10">
        <f>B46</f>
        <v>244</v>
      </c>
      <c r="C55" s="11">
        <f>C46</f>
        <v>0.47563352826510719</v>
      </c>
      <c r="D55" s="10"/>
    </row>
    <row r="56" spans="1:10" x14ac:dyDescent="0.25">
      <c r="A56" s="10" t="str">
        <f>A45</f>
        <v>Admitted</v>
      </c>
      <c r="B56" s="10">
        <f>B45</f>
        <v>269</v>
      </c>
      <c r="C56" s="11">
        <f>C45</f>
        <v>0.52436647173489281</v>
      </c>
      <c r="D56" s="10"/>
    </row>
    <row r="58" spans="1:10" x14ac:dyDescent="0.25">
      <c r="C58" s="9"/>
    </row>
    <row r="59" spans="1:10" x14ac:dyDescent="0.25">
      <c r="A59" t="s">
        <v>65</v>
      </c>
      <c r="E59" t="s">
        <v>66</v>
      </c>
      <c r="I59" t="s">
        <v>68</v>
      </c>
    </row>
    <row r="60" spans="1:10" x14ac:dyDescent="0.25">
      <c r="A60" s="2" t="s">
        <v>4</v>
      </c>
      <c r="B60" t="s">
        <v>64</v>
      </c>
      <c r="E60" s="2" t="s">
        <v>4</v>
      </c>
      <c r="F60" t="s">
        <v>56</v>
      </c>
      <c r="I60" s="2" t="s">
        <v>4</v>
      </c>
      <c r="J60" t="s">
        <v>67</v>
      </c>
    </row>
    <row r="61" spans="1:10" x14ac:dyDescent="0.25">
      <c r="A61" s="5" t="s">
        <v>46</v>
      </c>
      <c r="B61" s="13">
        <v>76</v>
      </c>
      <c r="E61" s="5" t="s">
        <v>45</v>
      </c>
      <c r="F61" s="13">
        <v>316</v>
      </c>
      <c r="I61" s="5" t="s">
        <v>47</v>
      </c>
      <c r="J61" s="13">
        <v>241</v>
      </c>
    </row>
    <row r="62" spans="1:10" x14ac:dyDescent="0.25">
      <c r="A62" s="5" t="s">
        <v>54</v>
      </c>
      <c r="B62" s="13">
        <v>69</v>
      </c>
      <c r="E62" s="5" t="s">
        <v>52</v>
      </c>
      <c r="F62" s="13">
        <v>197</v>
      </c>
      <c r="I62" s="5" t="s">
        <v>41</v>
      </c>
      <c r="J62" s="13">
        <v>272</v>
      </c>
    </row>
    <row r="63" spans="1:10" x14ac:dyDescent="0.25">
      <c r="A63" s="5" t="s">
        <v>48</v>
      </c>
      <c r="B63" s="13">
        <v>64</v>
      </c>
      <c r="E63" s="5" t="s">
        <v>5</v>
      </c>
      <c r="F63" s="13">
        <v>513</v>
      </c>
      <c r="I63" s="5" t="s">
        <v>5</v>
      </c>
      <c r="J63" s="13">
        <v>513</v>
      </c>
    </row>
    <row r="64" spans="1:10" x14ac:dyDescent="0.25">
      <c r="A64" s="5" t="s">
        <v>55</v>
      </c>
      <c r="B64" s="13">
        <v>59</v>
      </c>
    </row>
    <row r="65" spans="1:10" x14ac:dyDescent="0.25">
      <c r="A65" s="5" t="s">
        <v>50</v>
      </c>
      <c r="B65" s="13">
        <v>58</v>
      </c>
    </row>
    <row r="66" spans="1:10" x14ac:dyDescent="0.25">
      <c r="A66" s="5" t="s">
        <v>44</v>
      </c>
      <c r="B66" s="13">
        <v>66</v>
      </c>
      <c r="I66" s="2" t="s">
        <v>4</v>
      </c>
      <c r="J66" t="s">
        <v>74</v>
      </c>
    </row>
    <row r="67" spans="1:10" x14ac:dyDescent="0.25">
      <c r="A67" s="5" t="s">
        <v>62</v>
      </c>
      <c r="B67" s="13">
        <v>67</v>
      </c>
      <c r="I67" s="5" t="s">
        <v>70</v>
      </c>
      <c r="J67" s="13">
        <v>4</v>
      </c>
    </row>
    <row r="68" spans="1:10" x14ac:dyDescent="0.25">
      <c r="A68" s="5" t="s">
        <v>63</v>
      </c>
      <c r="B68" s="13">
        <v>54</v>
      </c>
      <c r="I68" s="5" t="s">
        <v>73</v>
      </c>
      <c r="J68" s="13">
        <v>5</v>
      </c>
    </row>
    <row r="69" spans="1:10" x14ac:dyDescent="0.25">
      <c r="A69" s="5" t="s">
        <v>5</v>
      </c>
      <c r="B69" s="13">
        <v>513</v>
      </c>
      <c r="D69" s="2" t="s">
        <v>4</v>
      </c>
      <c r="I69" s="5" t="s">
        <v>71</v>
      </c>
      <c r="J69" s="13">
        <v>9</v>
      </c>
    </row>
    <row r="70" spans="1:10" x14ac:dyDescent="0.25">
      <c r="D70" s="5" t="s">
        <v>6</v>
      </c>
      <c r="I70" s="5" t="s">
        <v>72</v>
      </c>
      <c r="J70" s="13">
        <v>14</v>
      </c>
    </row>
    <row r="71" spans="1:10" x14ac:dyDescent="0.25">
      <c r="D71" s="5" t="s">
        <v>5</v>
      </c>
      <c r="I71" s="5" t="s">
        <v>69</v>
      </c>
      <c r="J71" s="13">
        <v>14</v>
      </c>
    </row>
    <row r="72" spans="1:10" x14ac:dyDescent="0.25">
      <c r="I72" s="5" t="s">
        <v>53</v>
      </c>
      <c r="J72" s="13">
        <v>65</v>
      </c>
    </row>
    <row r="73" spans="1:10" x14ac:dyDescent="0.25">
      <c r="I73" s="5" t="s">
        <v>49</v>
      </c>
      <c r="J73" s="13">
        <v>103</v>
      </c>
    </row>
    <row r="74" spans="1:10" x14ac:dyDescent="0.25">
      <c r="I74" s="5" t="s">
        <v>42</v>
      </c>
      <c r="J74" s="13">
        <v>299</v>
      </c>
    </row>
    <row r="75" spans="1:10" x14ac:dyDescent="0.25">
      <c r="I75" s="5" t="s">
        <v>5</v>
      </c>
      <c r="J75" s="13">
        <v>513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A458-5BFA-486E-ABB4-52D8C4E1AB1E}">
  <dimension ref="A1"/>
  <sheetViews>
    <sheetView tabSelected="1" zoomScale="72" zoomScaleNormal="133" workbookViewId="0">
      <selection activeCell="U3" sqref="U3"/>
    </sheetView>
  </sheetViews>
  <sheetFormatPr defaultRowHeight="15" x14ac:dyDescent="0.25"/>
  <cols>
    <col min="1" max="16384" width="9.14062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E30C-FEB9-4585-BDAE-67D16E1EB205}">
  <dimension ref="A1"/>
  <sheetViews>
    <sheetView zoomScale="75" workbookViewId="0"/>
  </sheetViews>
  <sheetFormatPr defaultRowHeight="15" x14ac:dyDescent="0.25"/>
  <cols>
    <col min="1" max="16384" width="9.140625" style="7"/>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0715C-97D7-43AB-84F3-D1E7A9CA69E1}">
  <dimension ref="A1"/>
  <sheetViews>
    <sheetView zoomScale="80" workbookViewId="0"/>
  </sheetViews>
  <sheetFormatPr defaultRowHeight="15" x14ac:dyDescent="0.25"/>
  <cols>
    <col min="1" max="16384" width="9.14062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8678-6D86-4CE8-AB60-F2E6F65FF470}">
  <dimension ref="A1"/>
  <sheetViews>
    <sheetView zoomScale="84" workbookViewId="0">
      <selection activeCell="Y7" sqref="Y7"/>
    </sheetView>
  </sheetViews>
  <sheetFormatPr defaultRowHeight="15" x14ac:dyDescent="0.25"/>
  <cols>
    <col min="1" max="16384" width="9.14062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561B47B-70E0-4D58-A93B-035D6E8A0462}">
  <ds:schemaRefs/>
</ds:datastoreItem>
</file>

<file path=customXml/itemProps2.xml><?xml version="1.0" encoding="utf-8"?>
<ds:datastoreItem xmlns:ds="http://schemas.openxmlformats.org/officeDocument/2006/customXml" ds:itemID="{2887D45D-7A9F-4CD8-AC69-C30D1BF80EA6}">
  <ds:schemaRefs/>
</ds:datastoreItem>
</file>

<file path=customXml/itemProps3.xml><?xml version="1.0" encoding="utf-8"?>
<ds:datastoreItem xmlns:ds="http://schemas.openxmlformats.org/officeDocument/2006/customXml" ds:itemID="{712568B3-B3CD-4CCA-BA0D-990202E22A55}">
  <ds:schemaRefs/>
</ds:datastoreItem>
</file>

<file path=customXml/itemProps4.xml><?xml version="1.0" encoding="utf-8"?>
<ds:datastoreItem xmlns:ds="http://schemas.openxmlformats.org/officeDocument/2006/customXml" ds:itemID="{505D8CE1-2609-4896-AB3F-898D5C9FC4C7}">
  <ds:schemaRefs/>
</ds:datastoreItem>
</file>

<file path=customXml/itemProps5.xml><?xml version="1.0" encoding="utf-8"?>
<ds:datastoreItem xmlns:ds="http://schemas.openxmlformats.org/officeDocument/2006/customXml" ds:itemID="{774CD20A-6376-471F-9303-EBD3C39D1367}">
  <ds:schemaRefs/>
</ds:datastoreItem>
</file>

<file path=customXml/itemProps6.xml><?xml version="1.0" encoding="utf-8"?>
<ds:datastoreItem xmlns:ds="http://schemas.openxmlformats.org/officeDocument/2006/customXml" ds:itemID="{00C5A79E-A2A1-4015-9F79-B074A54A9C4D}">
  <ds:schemaRefs/>
</ds:datastoreItem>
</file>

<file path=customXml/itemProps7.xml><?xml version="1.0" encoding="utf-8"?>
<ds:datastoreItem xmlns:ds="http://schemas.openxmlformats.org/officeDocument/2006/customXml" ds:itemID="{A8E3AB02-1A4B-4ADE-8661-7DD9B64233EB}">
  <ds:schemaRefs/>
</ds:datastoreItem>
</file>

<file path=customXml/itemProps8.xml><?xml version="1.0" encoding="utf-8"?>
<ds:datastoreItem xmlns:ds="http://schemas.openxmlformats.org/officeDocument/2006/customXml" ds:itemID="{F409D2EB-00EC-48F0-942D-533D977AA457}">
  <ds:schemaRefs/>
</ds:datastoreItem>
</file>

<file path=customXml/itemProps9.xml><?xml version="1.0" encoding="utf-8"?>
<ds:datastoreItem xmlns:ds="http://schemas.openxmlformats.org/officeDocument/2006/customXml" ds:itemID="{F1A1AA44-AC49-4F82-B599-1161A2DCB07C}">
  <ds:schemaRefs/>
</ds:datastoreItem>
</file>

<file path=customXml/itemProps10.xml><?xml version="1.0" encoding="utf-8"?>
<ds:datastoreItem xmlns:ds="http://schemas.openxmlformats.org/officeDocument/2006/customXml" ds:itemID="{72138B6D-6B85-4526-BAF9-2DEDD17CC059}">
  <ds:schemaRefs/>
</ds:datastoreItem>
</file>

<file path=customXml/itemProps11.xml><?xml version="1.0" encoding="utf-8"?>
<ds:datastoreItem xmlns:ds="http://schemas.openxmlformats.org/officeDocument/2006/customXml" ds:itemID="{3169FBC3-379D-4569-A1BE-36ECAEF808D0}">
  <ds:schemaRefs/>
</ds:datastoreItem>
</file>

<file path=customXml/itemProps12.xml><?xml version="1.0" encoding="utf-8"?>
<ds:datastoreItem xmlns:ds="http://schemas.openxmlformats.org/officeDocument/2006/customXml" ds:itemID="{3073D90D-5F33-4144-9D53-3CCB7E2F2D14}">
  <ds:schemaRefs/>
</ds:datastoreItem>
</file>

<file path=customXml/itemProps13.xml><?xml version="1.0" encoding="utf-8"?>
<ds:datastoreItem xmlns:ds="http://schemas.openxmlformats.org/officeDocument/2006/customXml" ds:itemID="{C009F861-4AC4-4B24-B0A0-45369D2E0765}">
  <ds:schemaRefs>
    <ds:schemaRef ds:uri="http://schemas.microsoft.com/DataMashup"/>
  </ds:schemaRefs>
</ds:datastoreItem>
</file>

<file path=customXml/itemProps14.xml><?xml version="1.0" encoding="utf-8"?>
<ds:datastoreItem xmlns:ds="http://schemas.openxmlformats.org/officeDocument/2006/customXml" ds:itemID="{FCDCBCC9-23D1-4E19-9170-D0F0D1F4763A}">
  <ds:schemaRefs/>
</ds:datastoreItem>
</file>

<file path=customXml/itemProps15.xml><?xml version="1.0" encoding="utf-8"?>
<ds:datastoreItem xmlns:ds="http://schemas.openxmlformats.org/officeDocument/2006/customXml" ds:itemID="{D001CCCA-5762-43A4-B9EE-3AAF09C63AC1}">
  <ds:schemaRefs/>
</ds:datastoreItem>
</file>

<file path=customXml/itemProps16.xml><?xml version="1.0" encoding="utf-8"?>
<ds:datastoreItem xmlns:ds="http://schemas.openxmlformats.org/officeDocument/2006/customXml" ds:itemID="{4EC702A1-84DA-474D-A0CF-261E7526D011}">
  <ds:schemaRefs/>
</ds:datastoreItem>
</file>

<file path=customXml/itemProps17.xml><?xml version="1.0" encoding="utf-8"?>
<ds:datastoreItem xmlns:ds="http://schemas.openxmlformats.org/officeDocument/2006/customXml" ds:itemID="{88D9A70A-696D-4618-8B1F-239C71BC3D54}">
  <ds:schemaRefs/>
</ds:datastoreItem>
</file>

<file path=customXml/itemProps18.xml><?xml version="1.0" encoding="utf-8"?>
<ds:datastoreItem xmlns:ds="http://schemas.openxmlformats.org/officeDocument/2006/customXml" ds:itemID="{88041220-3E87-46CA-8890-ACC0699CAA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2026-01-30T16:03:40Z</dcterms:created>
  <dcterms:modified xsi:type="dcterms:W3CDTF">2026-01-31T17:21:21Z</dcterms:modified>
</cp:coreProperties>
</file>